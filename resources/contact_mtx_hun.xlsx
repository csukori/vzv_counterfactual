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CSURITA\PycharmProjects\PythonProject\counterfactual-analysis-vzv\resources\"/>
    </mc:Choice>
  </mc:AlternateContent>
  <xr:revisionPtr revIDLastSave="0" documentId="13_ncr:1_{0E80E019-023B-44A5-9F0F-2A9CF192D022}" xr6:coauthVersionLast="47" xr6:coauthVersionMax="47" xr10:uidLastSave="{00000000-0000-0000-0000-000000000000}"/>
  <bookViews>
    <workbookView xWindow="320" yWindow="1620" windowWidth="18880" windowHeight="9660" xr2:uid="{00000000-000D-0000-FFFF-FFFF00000000}"/>
  </bookViews>
  <sheets>
    <sheet name="contacts" sheetId="2" r:id="rId1"/>
    <sheet name="contacts_original" sheetId="1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4" i="2" l="1"/>
  <c r="C14" i="2" a="1"/>
  <c r="C14" i="2" s="1"/>
  <c r="D14" i="2" a="1"/>
  <c r="D14" i="2" s="1"/>
  <c r="E14" i="2" a="1"/>
  <c r="E14" i="2" s="1"/>
  <c r="F14" i="2" a="1"/>
  <c r="F14" i="2" s="1"/>
  <c r="G14" i="2" a="1"/>
  <c r="G14" i="2" s="1"/>
  <c r="H14" i="2" a="1"/>
  <c r="H14" i="2" s="1"/>
  <c r="I14" i="2" a="1"/>
  <c r="I14" i="2" s="1"/>
  <c r="J14" i="2" a="1"/>
  <c r="J14" i="2" s="1"/>
  <c r="K14" i="2" a="1"/>
  <c r="K14" i="2" s="1"/>
  <c r="L14" i="2" a="1"/>
  <c r="L14" i="2" s="1"/>
  <c r="M14" i="2" a="1"/>
  <c r="M14" i="2" s="1"/>
  <c r="B14" i="2" a="1"/>
  <c r="B14" i="2" s="1"/>
  <c r="N2" i="2" a="1"/>
  <c r="N2" i="2" s="1"/>
  <c r="N3" i="2" a="1"/>
  <c r="N3" i="2" s="1"/>
  <c r="N4" i="2" a="1"/>
  <c r="N4" i="2" s="1"/>
  <c r="N5" i="2" a="1"/>
  <c r="N5" i="2" s="1"/>
  <c r="N6" i="2" a="1"/>
  <c r="N6" i="2" s="1"/>
  <c r="N7" i="2" a="1"/>
  <c r="N7" i="2" s="1"/>
  <c r="N8" i="2" a="1"/>
  <c r="N8" i="2"/>
  <c r="N9" i="2" a="1"/>
  <c r="N9" i="2" s="1"/>
  <c r="N10" i="2" a="1"/>
  <c r="N10" i="2" s="1"/>
  <c r="N11" i="2" a="1"/>
  <c r="N11" i="2" s="1"/>
  <c r="N12" i="2" a="1"/>
  <c r="N12" i="2" s="1"/>
  <c r="N13" i="2" a="1"/>
  <c r="N13" i="2" s="1"/>
  <c r="M13" i="2"/>
  <c r="L13" i="2"/>
  <c r="K13" i="2"/>
  <c r="J13" i="2"/>
  <c r="I13" i="2"/>
  <c r="H13" i="2"/>
  <c r="G13" i="2"/>
  <c r="F13" i="2"/>
  <c r="E13" i="2"/>
  <c r="D13" i="2"/>
  <c r="C13" i="2"/>
  <c r="B13" i="2"/>
  <c r="M12" i="2"/>
  <c r="L12" i="2"/>
  <c r="K12" i="2"/>
  <c r="J12" i="2"/>
  <c r="I12" i="2"/>
  <c r="H12" i="2"/>
  <c r="G12" i="2"/>
  <c r="F12" i="2"/>
  <c r="E12" i="2"/>
  <c r="D12" i="2"/>
  <c r="C12" i="2"/>
  <c r="B12" i="2"/>
  <c r="M11" i="2"/>
  <c r="L11" i="2"/>
  <c r="K11" i="2"/>
  <c r="J11" i="2"/>
  <c r="I11" i="2"/>
  <c r="H11" i="2"/>
  <c r="G11" i="2"/>
  <c r="F11" i="2"/>
  <c r="E11" i="2"/>
  <c r="D11" i="2"/>
  <c r="C11" i="2"/>
  <c r="B11" i="2"/>
  <c r="M10" i="2"/>
  <c r="L10" i="2"/>
  <c r="K10" i="2"/>
  <c r="J10" i="2"/>
  <c r="I10" i="2"/>
  <c r="H10" i="2"/>
  <c r="G10" i="2"/>
  <c r="F10" i="2"/>
  <c r="E10" i="2"/>
  <c r="D10" i="2"/>
  <c r="C10" i="2"/>
  <c r="B10" i="2"/>
  <c r="M9" i="2"/>
  <c r="L9" i="2"/>
  <c r="K9" i="2"/>
  <c r="J9" i="2"/>
  <c r="I9" i="2"/>
  <c r="H9" i="2"/>
  <c r="G9" i="2"/>
  <c r="F9" i="2"/>
  <c r="E9" i="2"/>
  <c r="D9" i="2"/>
  <c r="C9" i="2"/>
  <c r="B9" i="2"/>
  <c r="M8" i="2"/>
  <c r="L8" i="2"/>
  <c r="K8" i="2"/>
  <c r="J8" i="2"/>
  <c r="I8" i="2"/>
  <c r="H8" i="2"/>
  <c r="G8" i="2"/>
  <c r="F8" i="2"/>
  <c r="E8" i="2"/>
  <c r="D8" i="2"/>
  <c r="C8" i="2"/>
  <c r="B8" i="2"/>
  <c r="M7" i="2"/>
  <c r="L7" i="2"/>
  <c r="K7" i="2"/>
  <c r="J7" i="2"/>
  <c r="I7" i="2"/>
  <c r="H7" i="2"/>
  <c r="G7" i="2"/>
  <c r="F7" i="2"/>
  <c r="E7" i="2"/>
  <c r="D7" i="2"/>
  <c r="C7" i="2"/>
  <c r="B7" i="2"/>
  <c r="M6" i="2"/>
  <c r="L6" i="2"/>
  <c r="K6" i="2"/>
  <c r="J6" i="2"/>
  <c r="I6" i="2"/>
  <c r="H6" i="2"/>
  <c r="G6" i="2"/>
  <c r="F6" i="2"/>
  <c r="E6" i="2"/>
  <c r="D6" i="2"/>
  <c r="C6" i="2"/>
  <c r="B6" i="2"/>
  <c r="M5" i="2"/>
  <c r="L5" i="2"/>
  <c r="K5" i="2"/>
  <c r="J5" i="2"/>
  <c r="I5" i="2"/>
  <c r="H5" i="2"/>
  <c r="G5" i="2"/>
  <c r="F5" i="2"/>
  <c r="E5" i="2"/>
  <c r="D5" i="2"/>
  <c r="C5" i="2"/>
  <c r="B5" i="2"/>
  <c r="M4" i="2"/>
  <c r="L4" i="2"/>
  <c r="K4" i="2"/>
  <c r="J4" i="2"/>
  <c r="I4" i="2"/>
  <c r="H4" i="2"/>
  <c r="G4" i="2"/>
  <c r="F4" i="2"/>
  <c r="E4" i="2"/>
  <c r="D4" i="2"/>
  <c r="C4" i="2"/>
  <c r="B4" i="2"/>
  <c r="M3" i="2"/>
  <c r="L3" i="2"/>
  <c r="K3" i="2"/>
  <c r="J3" i="2"/>
  <c r="I3" i="2"/>
  <c r="H3" i="2"/>
  <c r="G3" i="2"/>
  <c r="F3" i="2"/>
  <c r="E3" i="2"/>
  <c r="D3" i="2"/>
  <c r="C3" i="2"/>
  <c r="B3" i="2"/>
  <c r="M2" i="2"/>
  <c r="L2" i="2"/>
  <c r="K2" i="2"/>
  <c r="J2" i="2"/>
  <c r="I2" i="2"/>
  <c r="H2" i="2"/>
  <c r="G2" i="2"/>
  <c r="F2" i="2"/>
  <c r="E2" i="2"/>
  <c r="D2" i="2"/>
  <c r="C2" i="2"/>
  <c r="B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<sst xmlns="http://schemas.openxmlformats.org/spreadsheetml/2006/main" count="6" uniqueCount="3">
  <si>
    <t>10-14</t>
  </si>
  <si>
    <t>15-19</t>
  </si>
  <si>
    <t>20+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</si>
</sst>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SURITA\PycharmProjects\PythonProject\counterfactual-analysis-vzv\resources\contact_mtx_hun(Automatikusan%20helyre&#225;ll&#237;tott).xlsx" TargetMode="External"/><Relationship Id="rId1" Type="http://schemas.openxmlformats.org/officeDocument/2006/relationships/externalLinkPath" Target="contact_mtx_hun(Automatikusan%20helyre&#225;ll&#237;tott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acts"/>
      <sheetName val="Munka1"/>
    </sheetNames>
    <sheetDataSet>
      <sheetData sheetId="0">
        <row r="1">
          <cell r="A1">
            <v>2.8526575723699183</v>
          </cell>
          <cell r="B1">
            <v>0.78800612373044332</v>
          </cell>
          <cell r="C1">
            <v>0.3132288900893338</v>
          </cell>
          <cell r="D1">
            <v>0.2288615647554274</v>
          </cell>
          <cell r="E1">
            <v>0.29767159891424888</v>
          </cell>
          <cell r="F1">
            <v>0.56570216984398236</v>
          </cell>
          <cell r="G1">
            <v>0.90953882911926398</v>
          </cell>
          <cell r="H1">
            <v>0.87511218607224306</v>
          </cell>
          <cell r="I1">
            <v>0.48864816598174471</v>
          </cell>
          <cell r="J1">
            <v>0.23990513376934089</v>
          </cell>
          <cell r="K1">
            <v>0.26057923351133616</v>
          </cell>
          <cell r="L1">
            <v>0.25934326828901749</v>
          </cell>
          <cell r="M1">
            <v>0.1702886118505669</v>
          </cell>
          <cell r="N1">
            <v>0.13391031813038429</v>
          </cell>
          <cell r="O1">
            <v>7.943654161669314E-2</v>
          </cell>
          <cell r="P1">
            <v>4.5978534709152953E-2</v>
          </cell>
        </row>
        <row r="2">
          <cell r="A2">
            <v>0.74798781119245605</v>
          </cell>
          <cell r="B2">
            <v>4.0208208478348197</v>
          </cell>
          <cell r="C2">
            <v>0.78223461418432494</v>
          </cell>
          <cell r="D2">
            <v>0.24268956767583949</v>
          </cell>
          <cell r="E2">
            <v>0.14611108806525419</v>
          </cell>
          <cell r="F2">
            <v>0.37342154198065469</v>
          </cell>
          <cell r="G2">
            <v>0.73954666338103403</v>
          </cell>
          <cell r="H2">
            <v>0.86750187706701687</v>
          </cell>
          <cell r="I2">
            <v>0.75275045971173737</v>
          </cell>
          <cell r="J2">
            <v>0.28946760977602259</v>
          </cell>
          <cell r="K2">
            <v>0.19506386705038972</v>
          </cell>
          <cell r="L2">
            <v>0.20372243988499894</v>
          </cell>
          <cell r="M2">
            <v>0.1633151367432385</v>
          </cell>
          <cell r="N2">
            <v>0.12056695379951393</v>
          </cell>
          <cell r="O2">
            <v>5.6281597655457691E-2</v>
          </cell>
          <cell r="P2">
            <v>4.8207318134927096E-2</v>
          </cell>
        </row>
        <row r="3">
          <cell r="A3">
            <v>0.18191786049889538</v>
          </cell>
          <cell r="B3">
            <v>1.2798501417515138</v>
          </cell>
          <cell r="C3">
            <v>5.960047167316592</v>
          </cell>
          <cell r="D3">
            <v>0.69248402457529645</v>
          </cell>
          <cell r="E3">
            <v>0.24347758121507881</v>
          </cell>
          <cell r="F3">
            <v>0.2261246663352755</v>
          </cell>
          <cell r="G3">
            <v>0.40213238330808893</v>
          </cell>
          <cell r="H3">
            <v>0.71137797320968832</v>
          </cell>
          <cell r="I3">
            <v>0.88052543317592513</v>
          </cell>
          <cell r="J3">
            <v>0.43559458821245078</v>
          </cell>
          <cell r="K3">
            <v>0.2626216092017285</v>
          </cell>
          <cell r="L3">
            <v>0.15835814053939129</v>
          </cell>
          <cell r="M3">
            <v>9.167195897452983E-2</v>
          </cell>
          <cell r="N3">
            <v>9.7314634249690168E-2</v>
          </cell>
          <cell r="O3">
            <v>7.2708421174439222E-2</v>
          </cell>
          <cell r="P3">
            <v>6.3107975015704615E-2</v>
          </cell>
        </row>
        <row r="4">
          <cell r="A4">
            <v>0.12145288638974384</v>
          </cell>
          <cell r="B4">
            <v>0.29268863709960868</v>
          </cell>
          <cell r="C4">
            <v>2.2298211385146809</v>
          </cell>
          <cell r="D4">
            <v>8.5350145009825642</v>
          </cell>
          <cell r="E4">
            <v>1.2008018854306148</v>
          </cell>
          <cell r="F4">
            <v>0.58575466978934876</v>
          </cell>
          <cell r="G4">
            <v>0.53070391734848088</v>
          </cell>
          <cell r="H4">
            <v>0.77994085579210926</v>
          </cell>
          <cell r="I4">
            <v>0.94906997339236276</v>
          </cell>
          <cell r="J4">
            <v>0.90787975903133611</v>
          </cell>
          <cell r="K4">
            <v>0.49520391014276904</v>
          </cell>
          <cell r="L4">
            <v>0.18591334116540059</v>
          </cell>
          <cell r="M4">
            <v>8.1365553470857221E-2</v>
          </cell>
          <cell r="N4">
            <v>6.7253392302725229E-2</v>
          </cell>
          <cell r="O4">
            <v>3.9371841930417498E-2</v>
          </cell>
          <cell r="P4">
            <v>3.1470622696528561E-2</v>
          </cell>
        </row>
        <row r="5">
          <cell r="A5">
            <v>0.17751243370653902</v>
          </cell>
          <cell r="B5">
            <v>0.16583528702961151</v>
          </cell>
          <cell r="C5">
            <v>0.22078109651644226</v>
          </cell>
          <cell r="D5">
            <v>1.9775161327956141</v>
          </cell>
          <cell r="E5">
            <v>3.6391409502205612</v>
          </cell>
          <cell r="F5">
            <v>1.5716879914236039</v>
          </cell>
          <cell r="G5">
            <v>1.1589632722643488</v>
          </cell>
          <cell r="H5">
            <v>1.0934858662955906</v>
          </cell>
          <cell r="I5">
            <v>0.90537614963128743</v>
          </cell>
          <cell r="J5">
            <v>1.0587217466291792</v>
          </cell>
          <cell r="K5">
            <v>0.74886286626897913</v>
          </cell>
          <cell r="L5">
            <v>0.34467534773721031</v>
          </cell>
          <cell r="M5">
            <v>9.8531103688441896E-2</v>
          </cell>
          <cell r="N5">
            <v>5.9718213569636434E-2</v>
          </cell>
          <cell r="O5">
            <v>6.4247911968576182E-2</v>
          </cell>
          <cell r="P5">
            <v>5.6958676291767332E-2</v>
          </cell>
        </row>
        <row r="6">
          <cell r="A6">
            <v>0.39218157706456547</v>
          </cell>
          <cell r="B6">
            <v>0.23757914770699284</v>
          </cell>
          <cell r="C6">
            <v>0.12827031661172197</v>
          </cell>
          <cell r="D6">
            <v>0.68081182678153374</v>
          </cell>
          <cell r="E6">
            <v>1.808329368909096</v>
          </cell>
          <cell r="F6">
            <v>3.1029570985127441</v>
          </cell>
          <cell r="G6">
            <v>1.7513248941943671</v>
          </cell>
          <cell r="H6">
            <v>1.4413030765447172</v>
          </cell>
          <cell r="I6">
            <v>1.1691689076526128</v>
          </cell>
          <cell r="J6">
            <v>0.92641133918457519</v>
          </cell>
          <cell r="K6">
            <v>0.89860930750760737</v>
          </cell>
          <cell r="L6">
            <v>0.42985172386730691</v>
          </cell>
          <cell r="M6">
            <v>0.15349930268973311</v>
          </cell>
          <cell r="N6">
            <v>7.376974207198074E-2</v>
          </cell>
          <cell r="O6">
            <v>3.6498150087262704E-2</v>
          </cell>
          <cell r="P6">
            <v>3.1227542508267453E-2</v>
          </cell>
        </row>
        <row r="7">
          <cell r="A7">
            <v>0.67747151966025188</v>
          </cell>
          <cell r="B7">
            <v>0.90385420121189997</v>
          </cell>
          <cell r="C7">
            <v>0.60629486755591389</v>
          </cell>
          <cell r="D7">
            <v>0.46536486892313378</v>
          </cell>
          <cell r="E7">
            <v>1.0240331719793145</v>
          </cell>
          <cell r="F7">
            <v>1.7532163192453254</v>
          </cell>
          <cell r="G7">
            <v>3.2431698456650415</v>
          </cell>
          <cell r="H7">
            <v>2.1192439691587901</v>
          </cell>
          <cell r="I7">
            <v>1.4963843276365023</v>
          </cell>
          <cell r="J7">
            <v>1.0723193611663313</v>
          </cell>
          <cell r="K7">
            <v>0.8188511793540989</v>
          </cell>
          <cell r="L7">
            <v>0.5449939893895871</v>
          </cell>
          <cell r="M7">
            <v>0.29025694951489989</v>
          </cell>
          <cell r="N7">
            <v>0.14994999668019626</v>
          </cell>
          <cell r="O7">
            <v>7.4615491022516842E-2</v>
          </cell>
          <cell r="P7">
            <v>6.9263656218006231E-2</v>
          </cell>
        </row>
        <row r="8">
          <cell r="A8">
            <v>0.7516910209620995</v>
          </cell>
          <cell r="B8">
            <v>1.0965878050314755</v>
          </cell>
          <cell r="C8">
            <v>0.89633451454234059</v>
          </cell>
          <cell r="D8">
            <v>0.7066952634458159</v>
          </cell>
          <cell r="E8">
            <v>0.76026793900037837</v>
          </cell>
          <cell r="F8">
            <v>1.4008298561951795</v>
          </cell>
          <cell r="G8">
            <v>1.9971904550380679</v>
          </cell>
          <cell r="H8">
            <v>3.533886455217309</v>
          </cell>
          <cell r="I8">
            <v>2.2067575202872689</v>
          </cell>
          <cell r="J8">
            <v>1.2963450280406126</v>
          </cell>
          <cell r="K8">
            <v>0.87342187460639831</v>
          </cell>
          <cell r="L8">
            <v>0.44229663778056877</v>
          </cell>
          <cell r="M8">
            <v>0.35567899808382186</v>
          </cell>
          <cell r="N8">
            <v>0.25366270514865585</v>
          </cell>
          <cell r="O8">
            <v>0.14094537420055689</v>
          </cell>
          <cell r="P8">
            <v>5.6503282549795225E-2</v>
          </cell>
        </row>
        <row r="9">
          <cell r="A9">
            <v>0.3466139907572196</v>
          </cell>
          <cell r="B9">
            <v>0.6906909797733739</v>
          </cell>
          <cell r="C9">
            <v>0.88043410041946157</v>
          </cell>
          <cell r="D9">
            <v>1.1165358832292944</v>
          </cell>
          <cell r="E9">
            <v>0.88697013229600441</v>
          </cell>
          <cell r="F9">
            <v>1.1668795070802471</v>
          </cell>
          <cell r="G9">
            <v>1.6395511531964662</v>
          </cell>
          <cell r="H9">
            <v>1.9535927516077973</v>
          </cell>
          <cell r="I9">
            <v>2.8532759438068065</v>
          </cell>
          <cell r="J9">
            <v>1.5510060848028326</v>
          </cell>
          <cell r="K9">
            <v>1.0130489717862186</v>
          </cell>
          <cell r="L9">
            <v>0.27628155895770729</v>
          </cell>
          <cell r="M9">
            <v>0.20966305219709269</v>
          </cell>
          <cell r="N9">
            <v>0.1583141033229517</v>
          </cell>
          <cell r="O9">
            <v>0.10815003711197077</v>
          </cell>
          <cell r="P9">
            <v>5.4167718109059626E-2</v>
          </cell>
        </row>
        <row r="10">
          <cell r="A10">
            <v>0.34522464669886471</v>
          </cell>
          <cell r="B10">
            <v>0.44173525759568888</v>
          </cell>
          <cell r="C10">
            <v>0.51001350536634149</v>
          </cell>
          <cell r="D10">
            <v>1.3317247433890431</v>
          </cell>
          <cell r="E10">
            <v>0.80129622615125173</v>
          </cell>
          <cell r="F10">
            <v>0.90582148121608519</v>
          </cell>
          <cell r="G10">
            <v>1.190570470570915</v>
          </cell>
          <cell r="H10">
            <v>1.4040379584735454</v>
          </cell>
          <cell r="I10">
            <v>1.4374609385897048</v>
          </cell>
          <cell r="J10">
            <v>1.8381936117651174</v>
          </cell>
          <cell r="K10">
            <v>0.94320265407825077</v>
          </cell>
          <cell r="L10">
            <v>0.30763748100863564</v>
          </cell>
          <cell r="M10">
            <v>0.14336731315653933</v>
          </cell>
          <cell r="N10">
            <v>9.7296708990429734E-2</v>
          </cell>
          <cell r="O10">
            <v>8.5230350722489384E-2</v>
          </cell>
          <cell r="P10">
            <v>8.6354402195584601E-2</v>
          </cell>
        </row>
        <row r="11">
          <cell r="A11">
            <v>0.262252097951578</v>
          </cell>
          <cell r="B11">
            <v>0.58356375223295975</v>
          </cell>
          <cell r="C11">
            <v>0.84598085312856186</v>
          </cell>
          <cell r="D11">
            <v>1.2209471769420823</v>
          </cell>
          <cell r="E11">
            <v>0.95768957780581598</v>
          </cell>
          <cell r="F11">
            <v>1.1752762478075172</v>
          </cell>
          <cell r="G11">
            <v>1.1450043055610637</v>
          </cell>
          <cell r="H11">
            <v>1.1641989735213105</v>
          </cell>
          <cell r="I11">
            <v>1.4609564710536391</v>
          </cell>
          <cell r="J11">
            <v>1.5074753196408501</v>
          </cell>
          <cell r="K11">
            <v>1.6663361904644671</v>
          </cell>
          <cell r="L11">
            <v>0.65595196343941842</v>
          </cell>
          <cell r="M11">
            <v>0.27842166719246042</v>
          </cell>
          <cell r="N11">
            <v>0.1509187963572737</v>
          </cell>
          <cell r="O11">
            <v>0.10138093463305614</v>
          </cell>
          <cell r="P11">
            <v>0.10343785466624829</v>
          </cell>
        </row>
        <row r="12">
          <cell r="A12">
            <v>0.64352241913401964</v>
          </cell>
          <cell r="B12">
            <v>0.82160347225634223</v>
          </cell>
          <cell r="C12">
            <v>0.67759722362839092</v>
          </cell>
          <cell r="D12">
            <v>0.92463611267652712</v>
          </cell>
          <cell r="E12">
            <v>0.7143527858006361</v>
          </cell>
          <cell r="F12">
            <v>1.1400317539642812</v>
          </cell>
          <cell r="G12">
            <v>1.2261992473911922</v>
          </cell>
          <cell r="H12">
            <v>0.90394799852891106</v>
          </cell>
          <cell r="I12">
            <v>0.83918520921784612</v>
          </cell>
          <cell r="J12">
            <v>0.67435613556158081</v>
          </cell>
          <cell r="K12">
            <v>0.98316184741973778</v>
          </cell>
          <cell r="L12">
            <v>1.7413958432777212</v>
          </cell>
          <cell r="M12">
            <v>0.66513398202452079</v>
          </cell>
          <cell r="N12">
            <v>0.34069051783845811</v>
          </cell>
          <cell r="O12">
            <v>0.16505307982075199</v>
          </cell>
          <cell r="P12">
            <v>0.1299750481685138</v>
          </cell>
        </row>
        <row r="13">
          <cell r="A13">
            <v>0.51857782601756075</v>
          </cell>
          <cell r="B13">
            <v>0.47212343465502826</v>
          </cell>
          <cell r="C13">
            <v>0.31554519294056349</v>
          </cell>
          <cell r="D13">
            <v>0.4422736003673966</v>
          </cell>
          <cell r="E13">
            <v>0.42099577545551931</v>
          </cell>
          <cell r="F13">
            <v>0.63880119441739258</v>
          </cell>
          <cell r="G13">
            <v>0.91937498217836999</v>
          </cell>
          <cell r="H13">
            <v>0.93385619408722842</v>
          </cell>
          <cell r="I13">
            <v>0.60724320048444003</v>
          </cell>
          <cell r="J13">
            <v>0.41266138251768669</v>
          </cell>
          <cell r="K13">
            <v>0.46828036065381351</v>
          </cell>
          <cell r="L13">
            <v>0.86221850407393219</v>
          </cell>
          <cell r="M13">
            <v>1.3716355064165677</v>
          </cell>
          <cell r="N13">
            <v>0.57438832509642823</v>
          </cell>
          <cell r="O13">
            <v>0.31393199151857137</v>
          </cell>
          <cell r="P13">
            <v>0.13455504524655298</v>
          </cell>
        </row>
        <row r="14">
          <cell r="A14">
            <v>0.33829153695706998</v>
          </cell>
          <cell r="B14">
            <v>0.52167584312888859</v>
          </cell>
          <cell r="C14">
            <v>0.43746086506678189</v>
          </cell>
          <cell r="D14">
            <v>0.25681448170633348</v>
          </cell>
          <cell r="E14">
            <v>0.32091515618223382</v>
          </cell>
          <cell r="F14">
            <v>0.47119940973046309</v>
          </cell>
          <cell r="G14">
            <v>0.8417225363195231</v>
          </cell>
          <cell r="H14">
            <v>0.90529186520044214</v>
          </cell>
          <cell r="I14">
            <v>0.71694174243044206</v>
          </cell>
          <cell r="J14">
            <v>0.37410239834794057</v>
          </cell>
          <cell r="K14">
            <v>0.43599972704505197</v>
          </cell>
          <cell r="L14">
            <v>0.69401009077348907</v>
          </cell>
          <cell r="M14">
            <v>0.73294502921759108</v>
          </cell>
          <cell r="N14">
            <v>1.3033925542339098</v>
          </cell>
          <cell r="O14">
            <v>0.35527743124267469</v>
          </cell>
          <cell r="P14">
            <v>0.17346246923649153</v>
          </cell>
        </row>
        <row r="15">
          <cell r="A15">
            <v>0.16174206460729851</v>
          </cell>
          <cell r="B15">
            <v>0.47563729352658057</v>
          </cell>
          <cell r="C15">
            <v>0.4803465300042335</v>
          </cell>
          <cell r="D15">
            <v>0.45214206310456767</v>
          </cell>
          <cell r="E15">
            <v>0.20912012655019585</v>
          </cell>
          <cell r="F15">
            <v>0.37013092018488336</v>
          </cell>
          <cell r="G15">
            <v>0.42227466219272691</v>
          </cell>
          <cell r="H15">
            <v>0.77656237388440741</v>
          </cell>
          <cell r="I15">
            <v>0.7694466209962828</v>
          </cell>
          <cell r="J15">
            <v>0.55650142072593289</v>
          </cell>
          <cell r="K15">
            <v>0.43615965633651865</v>
          </cell>
          <cell r="L15">
            <v>0.47116236503155301</v>
          </cell>
          <cell r="M15">
            <v>0.78144367827806371</v>
          </cell>
          <cell r="N15">
            <v>0.77781358502330966</v>
          </cell>
          <cell r="O15">
            <v>1.0857488223430658</v>
          </cell>
          <cell r="P15">
            <v>0.33516213094445946</v>
          </cell>
        </row>
        <row r="16">
          <cell r="A16">
            <v>0.30451586881122589</v>
          </cell>
          <cell r="B16">
            <v>0.42430604489165441</v>
          </cell>
          <cell r="C16">
            <v>0.63359164646960375</v>
          </cell>
          <cell r="D16">
            <v>0.53087054325564709</v>
          </cell>
          <cell r="E16">
            <v>0.20912424660034384</v>
          </cell>
          <cell r="F16">
            <v>0.23115245619995087</v>
          </cell>
          <cell r="G16">
            <v>0.3987075942692061</v>
          </cell>
          <cell r="H16">
            <v>0.50388469096468524</v>
          </cell>
          <cell r="I16">
            <v>0.54874930257521881</v>
          </cell>
          <cell r="J16">
            <v>0.59575964313331153</v>
          </cell>
          <cell r="K16">
            <v>0.61562288721447922</v>
          </cell>
          <cell r="L16">
            <v>0.43251370407720857</v>
          </cell>
          <cell r="M16">
            <v>0.29998475959533377</v>
          </cell>
          <cell r="N16">
            <v>0.43147440761593042</v>
          </cell>
          <cell r="O16">
            <v>0.36104111216106738</v>
          </cell>
          <cell r="P16">
            <v>0.55053042147844322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3CF6F-FF22-4923-86E3-902C928E89B4}">
  <dimension ref="A1:N14"/>
  <sheetViews>
    <sheetView tabSelected="1" workbookViewId="0">
      <selection sqref="A1:XFD1"/>
    </sheetView>
  </sheetViews>
  <sheetFormatPr defaultRowHeight="14.5" x14ac:dyDescent="0.35"/>
  <cols>
    <col min="1" max="1" width="8.7265625" style="1"/>
  </cols>
  <sheetData>
    <row r="1" spans="1:14" s="1" customFormat="1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 t="s">
        <v>0</v>
      </c>
      <c r="M1" s="1" t="s">
        <v>1</v>
      </c>
      <c r="N1" s="1" t="s">
        <v>2</v>
      </c>
    </row>
    <row r="2" spans="1:14" x14ac:dyDescent="0.35">
      <c r="A2" s="1">
        <v>0</v>
      </c>
      <c r="B2">
        <f>INDEX([1]contacts!$A$1:$P$16,INT((ROW(B2)-2)/5)+1,INT((COLUMN(B2)-2)/5)+1)/5</f>
        <v>0.57053151447398365</v>
      </c>
      <c r="C2">
        <f>INDEX([1]contacts!$A$1:$P$16,INT((ROW(C2)-2)/5)+1,INT((COLUMN(C2)-2)/5)+1)/5</f>
        <v>0.57053151447398365</v>
      </c>
      <c r="D2">
        <f>INDEX([1]contacts!$A$1:$P$16,INT((ROW(D2)-2)/5)+1,INT((COLUMN(D2)-2)/5)+1)/5</f>
        <v>0.57053151447398365</v>
      </c>
      <c r="E2">
        <f>INDEX([1]contacts!$A$1:$P$16,INT((ROW(E2)-2)/5)+1,INT((COLUMN(E2)-2)/5)+1)/5</f>
        <v>0.57053151447398365</v>
      </c>
      <c r="F2">
        <f>INDEX([1]contacts!$A$1:$P$16,INT((ROW(F2)-2)/5)+1,INT((COLUMN(F2)-2)/5)+1)/5</f>
        <v>0.57053151447398365</v>
      </c>
      <c r="G2">
        <f>INDEX([1]contacts!$A$1:$P$16,INT((ROW(G2)-2)/5)+1,INT((COLUMN(G2)-2)/5)+1)/5</f>
        <v>0.15760122474608868</v>
      </c>
      <c r="H2">
        <f>INDEX([1]contacts!$A$1:$P$16,INT((ROW(H2)-2)/5)+1,INT((COLUMN(H2)-2)/5)+1)/5</f>
        <v>0.15760122474608868</v>
      </c>
      <c r="I2">
        <f>INDEX([1]contacts!$A$1:$P$16,INT((ROW(I2)-2)/5)+1,INT((COLUMN(I2)-2)/5)+1)/5</f>
        <v>0.15760122474608868</v>
      </c>
      <c r="J2">
        <f>INDEX([1]contacts!$A$1:$P$16,INT((ROW(J2)-2)/5)+1,INT((COLUMN(J2)-2)/5)+1)/5</f>
        <v>0.15760122474608868</v>
      </c>
      <c r="K2">
        <f>INDEX([1]contacts!$A$1:$P$16,INT((ROW(K2)-2)/5)+1,INT((COLUMN(K2)-2)/5)+1)/5</f>
        <v>0.15760122474608868</v>
      </c>
      <c r="L2">
        <f>INDEX([1]contacts!$A$1:$P$16,INT((ROW(L2)-2)/5)+1,INT((COLUMN(L2)-2)/5)+1)/5</f>
        <v>6.2645778017866763E-2</v>
      </c>
      <c r="M2">
        <f>INDEX([1]contacts!$A$1:$P$16,INT((ROW(M2)-2)/5)+1,INT((COLUMN(M2)-2)/5)+1)/5</f>
        <v>6.2645778017866763E-2</v>
      </c>
      <c r="N2" cm="1">
        <f t="array" ref="N2">SUM(INDEX(contacts_original!$A$1:$O$15,
           INT((ROW(N2)-2)/5)+1,
           INT((COLUMN(N2)-2)/5)+1 + _xlfn.SEQUENCE(13,1,0,1)))</f>
        <v>4.8222265119435823</v>
      </c>
    </row>
    <row r="3" spans="1:14" x14ac:dyDescent="0.35">
      <c r="A3" s="1">
        <v>1</v>
      </c>
      <c r="B3">
        <f>INDEX([1]contacts!$A$1:$P$16,INT((ROW(B3)-2)/5)+1,INT((COLUMN(B3)-2)/5)+1)/5</f>
        <v>0.57053151447398365</v>
      </c>
      <c r="C3">
        <f>INDEX([1]contacts!$A$1:$P$16,INT((ROW(C3)-2)/5)+1,INT((COLUMN(C3)-2)/5)+1)/5</f>
        <v>0.57053151447398365</v>
      </c>
      <c r="D3">
        <f>INDEX([1]contacts!$A$1:$P$16,INT((ROW(D3)-2)/5)+1,INT((COLUMN(D3)-2)/5)+1)/5</f>
        <v>0.57053151447398365</v>
      </c>
      <c r="E3">
        <f>INDEX([1]contacts!$A$1:$P$16,INT((ROW(E3)-2)/5)+1,INT((COLUMN(E3)-2)/5)+1)/5</f>
        <v>0.57053151447398365</v>
      </c>
      <c r="F3">
        <f>INDEX([1]contacts!$A$1:$P$16,INT((ROW(F3)-2)/5)+1,INT((COLUMN(F3)-2)/5)+1)/5</f>
        <v>0.57053151447398365</v>
      </c>
      <c r="G3">
        <f>INDEX([1]contacts!$A$1:$P$16,INT((ROW(G3)-2)/5)+1,INT((COLUMN(G3)-2)/5)+1)/5</f>
        <v>0.15760122474608868</v>
      </c>
      <c r="H3">
        <f>INDEX([1]contacts!$A$1:$P$16,INT((ROW(H3)-2)/5)+1,INT((COLUMN(H3)-2)/5)+1)/5</f>
        <v>0.15760122474608868</v>
      </c>
      <c r="I3">
        <f>INDEX([1]contacts!$A$1:$P$16,INT((ROW(I3)-2)/5)+1,INT((COLUMN(I3)-2)/5)+1)/5</f>
        <v>0.15760122474608868</v>
      </c>
      <c r="J3">
        <f>INDEX([1]contacts!$A$1:$P$16,INT((ROW(J3)-2)/5)+1,INT((COLUMN(J3)-2)/5)+1)/5</f>
        <v>0.15760122474608868</v>
      </c>
      <c r="K3">
        <f>INDEX([1]contacts!$A$1:$P$16,INT((ROW(K3)-2)/5)+1,INT((COLUMN(K3)-2)/5)+1)/5</f>
        <v>0.15760122474608868</v>
      </c>
      <c r="L3">
        <f>INDEX([1]contacts!$A$1:$P$16,INT((ROW(L3)-2)/5)+1,INT((COLUMN(L3)-2)/5)+1)/5</f>
        <v>6.2645778017866763E-2</v>
      </c>
      <c r="M3">
        <f>INDEX([1]contacts!$A$1:$P$16,INT((ROW(M3)-2)/5)+1,INT((COLUMN(M3)-2)/5)+1)/5</f>
        <v>6.2645778017866763E-2</v>
      </c>
      <c r="N3" cm="1">
        <f t="array" ref="N3">SUM(INDEX(contacts_original!$A$1:$O$15,
           INT((ROW(N3)-2)/5)+1,
           INT((COLUMN(N3)-2)/5)+1 + _xlfn.SEQUENCE(13,1,0,1)))</f>
        <v>4.8222265119435823</v>
      </c>
    </row>
    <row r="4" spans="1:14" x14ac:dyDescent="0.35">
      <c r="A4" s="1">
        <v>2</v>
      </c>
      <c r="B4">
        <f>INDEX([1]contacts!$A$1:$P$16,INT((ROW(B4)-2)/5)+1,INT((COLUMN(B4)-2)/5)+1)/5</f>
        <v>0.57053151447398365</v>
      </c>
      <c r="C4">
        <f>INDEX([1]contacts!$A$1:$P$16,INT((ROW(C4)-2)/5)+1,INT((COLUMN(C4)-2)/5)+1)/5</f>
        <v>0.57053151447398365</v>
      </c>
      <c r="D4">
        <f>INDEX([1]contacts!$A$1:$P$16,INT((ROW(D4)-2)/5)+1,INT((COLUMN(D4)-2)/5)+1)/5</f>
        <v>0.57053151447398365</v>
      </c>
      <c r="E4">
        <f>INDEX([1]contacts!$A$1:$P$16,INT((ROW(E4)-2)/5)+1,INT((COLUMN(E4)-2)/5)+1)/5</f>
        <v>0.57053151447398365</v>
      </c>
      <c r="F4">
        <f>INDEX([1]contacts!$A$1:$P$16,INT((ROW(F4)-2)/5)+1,INT((COLUMN(F4)-2)/5)+1)/5</f>
        <v>0.57053151447398365</v>
      </c>
      <c r="G4">
        <f>INDEX([1]contacts!$A$1:$P$16,INT((ROW(G4)-2)/5)+1,INT((COLUMN(G4)-2)/5)+1)/5</f>
        <v>0.15760122474608868</v>
      </c>
      <c r="H4">
        <f>INDEX([1]contacts!$A$1:$P$16,INT((ROW(H4)-2)/5)+1,INT((COLUMN(H4)-2)/5)+1)/5</f>
        <v>0.15760122474608868</v>
      </c>
      <c r="I4">
        <f>INDEX([1]contacts!$A$1:$P$16,INT((ROW(I4)-2)/5)+1,INT((COLUMN(I4)-2)/5)+1)/5</f>
        <v>0.15760122474608868</v>
      </c>
      <c r="J4">
        <f>INDEX([1]contacts!$A$1:$P$16,INT((ROW(J4)-2)/5)+1,INT((COLUMN(J4)-2)/5)+1)/5</f>
        <v>0.15760122474608868</v>
      </c>
      <c r="K4">
        <f>INDEX([1]contacts!$A$1:$P$16,INT((ROW(K4)-2)/5)+1,INT((COLUMN(K4)-2)/5)+1)/5</f>
        <v>0.15760122474608868</v>
      </c>
      <c r="L4">
        <f>INDEX([1]contacts!$A$1:$P$16,INT((ROW(L4)-2)/5)+1,INT((COLUMN(L4)-2)/5)+1)/5</f>
        <v>6.2645778017866763E-2</v>
      </c>
      <c r="M4">
        <f>INDEX([1]contacts!$A$1:$P$16,INT((ROW(M4)-2)/5)+1,INT((COLUMN(M4)-2)/5)+1)/5</f>
        <v>6.2645778017866763E-2</v>
      </c>
      <c r="N4" cm="1">
        <f t="array" ref="N4">SUM(INDEX(contacts_original!$A$1:$O$15,
           INT((ROW(N4)-2)/5)+1,
           INT((COLUMN(N4)-2)/5)+1 + _xlfn.SEQUENCE(13,1,0,1)))</f>
        <v>4.8222265119435823</v>
      </c>
    </row>
    <row r="5" spans="1:14" x14ac:dyDescent="0.35">
      <c r="A5" s="1">
        <v>3</v>
      </c>
      <c r="B5">
        <f>INDEX([1]contacts!$A$1:$P$16,INT((ROW(B5)-2)/5)+1,INT((COLUMN(B5)-2)/5)+1)/5</f>
        <v>0.57053151447398365</v>
      </c>
      <c r="C5">
        <f>INDEX([1]contacts!$A$1:$P$16,INT((ROW(C5)-2)/5)+1,INT((COLUMN(C5)-2)/5)+1)/5</f>
        <v>0.57053151447398365</v>
      </c>
      <c r="D5">
        <f>INDEX([1]contacts!$A$1:$P$16,INT((ROW(D5)-2)/5)+1,INT((COLUMN(D5)-2)/5)+1)/5</f>
        <v>0.57053151447398365</v>
      </c>
      <c r="E5">
        <f>INDEX([1]contacts!$A$1:$P$16,INT((ROW(E5)-2)/5)+1,INT((COLUMN(E5)-2)/5)+1)/5</f>
        <v>0.57053151447398365</v>
      </c>
      <c r="F5">
        <f>INDEX([1]contacts!$A$1:$P$16,INT((ROW(F5)-2)/5)+1,INT((COLUMN(F5)-2)/5)+1)/5</f>
        <v>0.57053151447398365</v>
      </c>
      <c r="G5">
        <f>INDEX([1]contacts!$A$1:$P$16,INT((ROW(G5)-2)/5)+1,INT((COLUMN(G5)-2)/5)+1)/5</f>
        <v>0.15760122474608868</v>
      </c>
      <c r="H5">
        <f>INDEX([1]contacts!$A$1:$P$16,INT((ROW(H5)-2)/5)+1,INT((COLUMN(H5)-2)/5)+1)/5</f>
        <v>0.15760122474608868</v>
      </c>
      <c r="I5">
        <f>INDEX([1]contacts!$A$1:$P$16,INT((ROW(I5)-2)/5)+1,INT((COLUMN(I5)-2)/5)+1)/5</f>
        <v>0.15760122474608868</v>
      </c>
      <c r="J5">
        <f>INDEX([1]contacts!$A$1:$P$16,INT((ROW(J5)-2)/5)+1,INT((COLUMN(J5)-2)/5)+1)/5</f>
        <v>0.15760122474608868</v>
      </c>
      <c r="K5">
        <f>INDEX([1]contacts!$A$1:$P$16,INT((ROW(K5)-2)/5)+1,INT((COLUMN(K5)-2)/5)+1)/5</f>
        <v>0.15760122474608868</v>
      </c>
      <c r="L5">
        <f>INDEX([1]contacts!$A$1:$P$16,INT((ROW(L5)-2)/5)+1,INT((COLUMN(L5)-2)/5)+1)/5</f>
        <v>6.2645778017866763E-2</v>
      </c>
      <c r="M5">
        <f>INDEX([1]contacts!$A$1:$P$16,INT((ROW(M5)-2)/5)+1,INT((COLUMN(M5)-2)/5)+1)/5</f>
        <v>6.2645778017866763E-2</v>
      </c>
      <c r="N5" cm="1">
        <f t="array" ref="N5">SUM(INDEX(contacts_original!$A$1:$O$15,
           INT((ROW(N5)-2)/5)+1,
           INT((COLUMN(N5)-2)/5)+1 + _xlfn.SEQUENCE(13,1,0,1)))</f>
        <v>4.8222265119435823</v>
      </c>
    </row>
    <row r="6" spans="1:14" x14ac:dyDescent="0.35">
      <c r="A6" s="1">
        <v>4</v>
      </c>
      <c r="B6">
        <f>INDEX([1]contacts!$A$1:$P$16,INT((ROW(B6)-2)/5)+1,INT((COLUMN(B6)-2)/5)+1)/5</f>
        <v>0.57053151447398365</v>
      </c>
      <c r="C6">
        <f>INDEX([1]contacts!$A$1:$P$16,INT((ROW(C6)-2)/5)+1,INT((COLUMN(C6)-2)/5)+1)/5</f>
        <v>0.57053151447398365</v>
      </c>
      <c r="D6">
        <f>INDEX([1]contacts!$A$1:$P$16,INT((ROW(D6)-2)/5)+1,INT((COLUMN(D6)-2)/5)+1)/5</f>
        <v>0.57053151447398365</v>
      </c>
      <c r="E6">
        <f>INDEX([1]contacts!$A$1:$P$16,INT((ROW(E6)-2)/5)+1,INT((COLUMN(E6)-2)/5)+1)/5</f>
        <v>0.57053151447398365</v>
      </c>
      <c r="F6">
        <f>INDEX([1]contacts!$A$1:$P$16,INT((ROW(F6)-2)/5)+1,INT((COLUMN(F6)-2)/5)+1)/5</f>
        <v>0.57053151447398365</v>
      </c>
      <c r="G6">
        <f>INDEX([1]contacts!$A$1:$P$16,INT((ROW(G6)-2)/5)+1,INT((COLUMN(G6)-2)/5)+1)/5</f>
        <v>0.15760122474608868</v>
      </c>
      <c r="H6">
        <f>INDEX([1]contacts!$A$1:$P$16,INT((ROW(H6)-2)/5)+1,INT((COLUMN(H6)-2)/5)+1)/5</f>
        <v>0.15760122474608868</v>
      </c>
      <c r="I6">
        <f>INDEX([1]contacts!$A$1:$P$16,INT((ROW(I6)-2)/5)+1,INT((COLUMN(I6)-2)/5)+1)/5</f>
        <v>0.15760122474608868</v>
      </c>
      <c r="J6">
        <f>INDEX([1]contacts!$A$1:$P$16,INT((ROW(J6)-2)/5)+1,INT((COLUMN(J6)-2)/5)+1)/5</f>
        <v>0.15760122474608868</v>
      </c>
      <c r="K6">
        <f>INDEX([1]contacts!$A$1:$P$16,INT((ROW(K6)-2)/5)+1,INT((COLUMN(K6)-2)/5)+1)/5</f>
        <v>0.15760122474608868</v>
      </c>
      <c r="L6">
        <f>INDEX([1]contacts!$A$1:$P$16,INT((ROW(L6)-2)/5)+1,INT((COLUMN(L6)-2)/5)+1)/5</f>
        <v>6.2645778017866763E-2</v>
      </c>
      <c r="M6">
        <f>INDEX([1]contacts!$A$1:$P$16,INT((ROW(M6)-2)/5)+1,INT((COLUMN(M6)-2)/5)+1)/5</f>
        <v>6.2645778017866763E-2</v>
      </c>
      <c r="N6" cm="1">
        <f t="array" ref="N6">SUM(INDEX(contacts_original!$A$1:$O$15,
           INT((ROW(N6)-2)/5)+1,
           INT((COLUMN(N6)-2)/5)+1 + _xlfn.SEQUENCE(13,1,0,1)))</f>
        <v>4.8222265119435823</v>
      </c>
    </row>
    <row r="7" spans="1:14" x14ac:dyDescent="0.35">
      <c r="A7" s="1">
        <v>5</v>
      </c>
      <c r="B7">
        <f>INDEX([1]contacts!$A$1:$P$16,INT((ROW(B7)-2)/5)+1,INT((COLUMN(B7)-2)/5)+1)/5</f>
        <v>0.14959756223849122</v>
      </c>
      <c r="C7">
        <f>INDEX([1]contacts!$A$1:$P$16,INT((ROW(C7)-2)/5)+1,INT((COLUMN(C7)-2)/5)+1)/5</f>
        <v>0.14959756223849122</v>
      </c>
      <c r="D7">
        <f>INDEX([1]contacts!$A$1:$P$16,INT((ROW(D7)-2)/5)+1,INT((COLUMN(D7)-2)/5)+1)/5</f>
        <v>0.14959756223849122</v>
      </c>
      <c r="E7">
        <f>INDEX([1]contacts!$A$1:$P$16,INT((ROW(E7)-2)/5)+1,INT((COLUMN(E7)-2)/5)+1)/5</f>
        <v>0.14959756223849122</v>
      </c>
      <c r="F7">
        <f>INDEX([1]contacts!$A$1:$P$16,INT((ROW(F7)-2)/5)+1,INT((COLUMN(F7)-2)/5)+1)/5</f>
        <v>0.14959756223849122</v>
      </c>
      <c r="G7">
        <f>INDEX([1]contacts!$A$1:$P$16,INT((ROW(G7)-2)/5)+1,INT((COLUMN(G7)-2)/5)+1)/5</f>
        <v>0.8041641695669639</v>
      </c>
      <c r="H7">
        <f>INDEX([1]contacts!$A$1:$P$16,INT((ROW(H7)-2)/5)+1,INT((COLUMN(H7)-2)/5)+1)/5</f>
        <v>0.8041641695669639</v>
      </c>
      <c r="I7">
        <f>INDEX([1]contacts!$A$1:$P$16,INT((ROW(I7)-2)/5)+1,INT((COLUMN(I7)-2)/5)+1)/5</f>
        <v>0.8041641695669639</v>
      </c>
      <c r="J7">
        <f>INDEX([1]contacts!$A$1:$P$16,INT((ROW(J7)-2)/5)+1,INT((COLUMN(J7)-2)/5)+1)/5</f>
        <v>0.8041641695669639</v>
      </c>
      <c r="K7">
        <f>INDEX([1]contacts!$A$1:$P$16,INT((ROW(K7)-2)/5)+1,INT((COLUMN(K7)-2)/5)+1)/5</f>
        <v>0.8041641695669639</v>
      </c>
      <c r="L7">
        <f>INDEX([1]contacts!$A$1:$P$16,INT((ROW(L7)-2)/5)+1,INT((COLUMN(L7)-2)/5)+1)/5</f>
        <v>0.15644692283686498</v>
      </c>
      <c r="M7">
        <f>INDEX([1]contacts!$A$1:$P$16,INT((ROW(M7)-2)/5)+1,INT((COLUMN(M7)-2)/5)+1)/5</f>
        <v>0.15644692283686498</v>
      </c>
      <c r="N7" cm="1">
        <f t="array" ref="N7">SUM(INDEX(contacts_original!$A$1:$O$15,
           INT((ROW(N7)-2)/5)+1,
           INT((COLUMN(N7)-2)/5)+1 + _xlfn.SEQUENCE(13,1,0,1)))</f>
        <v>4.9326734169754829</v>
      </c>
    </row>
    <row r="8" spans="1:14" x14ac:dyDescent="0.35">
      <c r="A8" s="1">
        <v>6</v>
      </c>
      <c r="B8">
        <f>INDEX([1]contacts!$A$1:$P$16,INT((ROW(B8)-2)/5)+1,INT((COLUMN(B8)-2)/5)+1)/5</f>
        <v>0.14959756223849122</v>
      </c>
      <c r="C8">
        <f>INDEX([1]contacts!$A$1:$P$16,INT((ROW(C8)-2)/5)+1,INT((COLUMN(C8)-2)/5)+1)/5</f>
        <v>0.14959756223849122</v>
      </c>
      <c r="D8">
        <f>INDEX([1]contacts!$A$1:$P$16,INT((ROW(D8)-2)/5)+1,INT((COLUMN(D8)-2)/5)+1)/5</f>
        <v>0.14959756223849122</v>
      </c>
      <c r="E8">
        <f>INDEX([1]contacts!$A$1:$P$16,INT((ROW(E8)-2)/5)+1,INT((COLUMN(E8)-2)/5)+1)/5</f>
        <v>0.14959756223849122</v>
      </c>
      <c r="F8">
        <f>INDEX([1]contacts!$A$1:$P$16,INT((ROW(F8)-2)/5)+1,INT((COLUMN(F8)-2)/5)+1)/5</f>
        <v>0.14959756223849122</v>
      </c>
      <c r="G8">
        <f>INDEX([1]contacts!$A$1:$P$16,INT((ROW(G8)-2)/5)+1,INT((COLUMN(G8)-2)/5)+1)/5</f>
        <v>0.8041641695669639</v>
      </c>
      <c r="H8">
        <f>INDEX([1]contacts!$A$1:$P$16,INT((ROW(H8)-2)/5)+1,INT((COLUMN(H8)-2)/5)+1)/5</f>
        <v>0.8041641695669639</v>
      </c>
      <c r="I8">
        <f>INDEX([1]contacts!$A$1:$P$16,INT((ROW(I8)-2)/5)+1,INT((COLUMN(I8)-2)/5)+1)/5</f>
        <v>0.8041641695669639</v>
      </c>
      <c r="J8">
        <f>INDEX([1]contacts!$A$1:$P$16,INT((ROW(J8)-2)/5)+1,INT((COLUMN(J8)-2)/5)+1)/5</f>
        <v>0.8041641695669639</v>
      </c>
      <c r="K8">
        <f>INDEX([1]contacts!$A$1:$P$16,INT((ROW(K8)-2)/5)+1,INT((COLUMN(K8)-2)/5)+1)/5</f>
        <v>0.8041641695669639</v>
      </c>
      <c r="L8">
        <f>INDEX([1]contacts!$A$1:$P$16,INT((ROW(L8)-2)/5)+1,INT((COLUMN(L8)-2)/5)+1)/5</f>
        <v>0.15644692283686498</v>
      </c>
      <c r="M8">
        <f>INDEX([1]contacts!$A$1:$P$16,INT((ROW(M8)-2)/5)+1,INT((COLUMN(M8)-2)/5)+1)/5</f>
        <v>0.15644692283686498</v>
      </c>
      <c r="N8" cm="1">
        <f t="array" ref="N8">SUM(INDEX(contacts_original!$A$1:$O$15,
           INT((ROW(N8)-2)/5)+1,
           INT((COLUMN(N8)-2)/5)+1 + _xlfn.SEQUENCE(13,1,0,1)))</f>
        <v>4.9326734169754829</v>
      </c>
    </row>
    <row r="9" spans="1:14" x14ac:dyDescent="0.35">
      <c r="A9" s="1">
        <v>7</v>
      </c>
      <c r="B9">
        <f>INDEX([1]contacts!$A$1:$P$16,INT((ROW(B9)-2)/5)+1,INT((COLUMN(B9)-2)/5)+1)/5</f>
        <v>0.14959756223849122</v>
      </c>
      <c r="C9">
        <f>INDEX([1]contacts!$A$1:$P$16,INT((ROW(C9)-2)/5)+1,INT((COLUMN(C9)-2)/5)+1)/5</f>
        <v>0.14959756223849122</v>
      </c>
      <c r="D9">
        <f>INDEX([1]contacts!$A$1:$P$16,INT((ROW(D9)-2)/5)+1,INT((COLUMN(D9)-2)/5)+1)/5</f>
        <v>0.14959756223849122</v>
      </c>
      <c r="E9">
        <f>INDEX([1]contacts!$A$1:$P$16,INT((ROW(E9)-2)/5)+1,INT((COLUMN(E9)-2)/5)+1)/5</f>
        <v>0.14959756223849122</v>
      </c>
      <c r="F9">
        <f>INDEX([1]contacts!$A$1:$P$16,INT((ROW(F9)-2)/5)+1,INT((COLUMN(F9)-2)/5)+1)/5</f>
        <v>0.14959756223849122</v>
      </c>
      <c r="G9">
        <f>INDEX([1]contacts!$A$1:$P$16,INT((ROW(G9)-2)/5)+1,INT((COLUMN(G9)-2)/5)+1)/5</f>
        <v>0.8041641695669639</v>
      </c>
      <c r="H9">
        <f>INDEX([1]contacts!$A$1:$P$16,INT((ROW(H9)-2)/5)+1,INT((COLUMN(H9)-2)/5)+1)/5</f>
        <v>0.8041641695669639</v>
      </c>
      <c r="I9">
        <f>INDEX([1]contacts!$A$1:$P$16,INT((ROW(I9)-2)/5)+1,INT((COLUMN(I9)-2)/5)+1)/5</f>
        <v>0.8041641695669639</v>
      </c>
      <c r="J9">
        <f>INDEX([1]contacts!$A$1:$P$16,INT((ROW(J9)-2)/5)+1,INT((COLUMN(J9)-2)/5)+1)/5</f>
        <v>0.8041641695669639</v>
      </c>
      <c r="K9">
        <f>INDEX([1]contacts!$A$1:$P$16,INT((ROW(K9)-2)/5)+1,INT((COLUMN(K9)-2)/5)+1)/5</f>
        <v>0.8041641695669639</v>
      </c>
      <c r="L9">
        <f>INDEX([1]contacts!$A$1:$P$16,INT((ROW(L9)-2)/5)+1,INT((COLUMN(L9)-2)/5)+1)/5</f>
        <v>0.15644692283686498</v>
      </c>
      <c r="M9">
        <f>INDEX([1]contacts!$A$1:$P$16,INT((ROW(M9)-2)/5)+1,INT((COLUMN(M9)-2)/5)+1)/5</f>
        <v>0.15644692283686498</v>
      </c>
      <c r="N9" cm="1">
        <f t="array" ref="N9">SUM(INDEX(contacts_original!$A$1:$O$15,
           INT((ROW(N9)-2)/5)+1,
           INT((COLUMN(N9)-2)/5)+1 + _xlfn.SEQUENCE(13,1,0,1)))</f>
        <v>4.9326734169754829</v>
      </c>
    </row>
    <row r="10" spans="1:14" x14ac:dyDescent="0.35">
      <c r="A10" s="1">
        <v>8</v>
      </c>
      <c r="B10">
        <f>INDEX([1]contacts!$A$1:$P$16,INT((ROW(B10)-2)/5)+1,INT((COLUMN(B10)-2)/5)+1)/5</f>
        <v>0.14959756223849122</v>
      </c>
      <c r="C10">
        <f>INDEX([1]contacts!$A$1:$P$16,INT((ROW(C10)-2)/5)+1,INT((COLUMN(C10)-2)/5)+1)/5</f>
        <v>0.14959756223849122</v>
      </c>
      <c r="D10">
        <f>INDEX([1]contacts!$A$1:$P$16,INT((ROW(D10)-2)/5)+1,INT((COLUMN(D10)-2)/5)+1)/5</f>
        <v>0.14959756223849122</v>
      </c>
      <c r="E10">
        <f>INDEX([1]contacts!$A$1:$P$16,INT((ROW(E10)-2)/5)+1,INT((COLUMN(E10)-2)/5)+1)/5</f>
        <v>0.14959756223849122</v>
      </c>
      <c r="F10">
        <f>INDEX([1]contacts!$A$1:$P$16,INT((ROW(F10)-2)/5)+1,INT((COLUMN(F10)-2)/5)+1)/5</f>
        <v>0.14959756223849122</v>
      </c>
      <c r="G10">
        <f>INDEX([1]contacts!$A$1:$P$16,INT((ROW(G10)-2)/5)+1,INT((COLUMN(G10)-2)/5)+1)/5</f>
        <v>0.8041641695669639</v>
      </c>
      <c r="H10">
        <f>INDEX([1]contacts!$A$1:$P$16,INT((ROW(H10)-2)/5)+1,INT((COLUMN(H10)-2)/5)+1)/5</f>
        <v>0.8041641695669639</v>
      </c>
      <c r="I10">
        <f>INDEX([1]contacts!$A$1:$P$16,INT((ROW(I10)-2)/5)+1,INT((COLUMN(I10)-2)/5)+1)/5</f>
        <v>0.8041641695669639</v>
      </c>
      <c r="J10">
        <f>INDEX([1]contacts!$A$1:$P$16,INT((ROW(J10)-2)/5)+1,INT((COLUMN(J10)-2)/5)+1)/5</f>
        <v>0.8041641695669639</v>
      </c>
      <c r="K10">
        <f>INDEX([1]contacts!$A$1:$P$16,INT((ROW(K10)-2)/5)+1,INT((COLUMN(K10)-2)/5)+1)/5</f>
        <v>0.8041641695669639</v>
      </c>
      <c r="L10">
        <f>INDEX([1]contacts!$A$1:$P$16,INT((ROW(L10)-2)/5)+1,INT((COLUMN(L10)-2)/5)+1)/5</f>
        <v>0.15644692283686498</v>
      </c>
      <c r="M10">
        <f>INDEX([1]contacts!$A$1:$P$16,INT((ROW(M10)-2)/5)+1,INT((COLUMN(M10)-2)/5)+1)/5</f>
        <v>0.15644692283686498</v>
      </c>
      <c r="N10" cm="1">
        <f t="array" ref="N10">SUM(INDEX(contacts_original!$A$1:$O$15,
           INT((ROW(N10)-2)/5)+1,
           INT((COLUMN(N10)-2)/5)+1 + _xlfn.SEQUENCE(13,1,0,1)))</f>
        <v>4.9326734169754829</v>
      </c>
    </row>
    <row r="11" spans="1:14" x14ac:dyDescent="0.35">
      <c r="A11" s="1">
        <v>9</v>
      </c>
      <c r="B11">
        <f>INDEX([1]contacts!$A$1:$P$16,INT((ROW(B11)-2)/5)+1,INT((COLUMN(B11)-2)/5)+1)/5</f>
        <v>0.14959756223849122</v>
      </c>
      <c r="C11">
        <f>INDEX([1]contacts!$A$1:$P$16,INT((ROW(C11)-2)/5)+1,INT((COLUMN(C11)-2)/5)+1)/5</f>
        <v>0.14959756223849122</v>
      </c>
      <c r="D11">
        <f>INDEX([1]contacts!$A$1:$P$16,INT((ROW(D11)-2)/5)+1,INT((COLUMN(D11)-2)/5)+1)/5</f>
        <v>0.14959756223849122</v>
      </c>
      <c r="E11">
        <f>INDEX([1]contacts!$A$1:$P$16,INT((ROW(E11)-2)/5)+1,INT((COLUMN(E11)-2)/5)+1)/5</f>
        <v>0.14959756223849122</v>
      </c>
      <c r="F11">
        <f>INDEX([1]contacts!$A$1:$P$16,INT((ROW(F11)-2)/5)+1,INT((COLUMN(F11)-2)/5)+1)/5</f>
        <v>0.14959756223849122</v>
      </c>
      <c r="G11">
        <f>INDEX([1]contacts!$A$1:$P$16,INT((ROW(G11)-2)/5)+1,INT((COLUMN(G11)-2)/5)+1)/5</f>
        <v>0.8041641695669639</v>
      </c>
      <c r="H11">
        <f>INDEX([1]contacts!$A$1:$P$16,INT((ROW(H11)-2)/5)+1,INT((COLUMN(H11)-2)/5)+1)/5</f>
        <v>0.8041641695669639</v>
      </c>
      <c r="I11">
        <f>INDEX([1]contacts!$A$1:$P$16,INT((ROW(I11)-2)/5)+1,INT((COLUMN(I11)-2)/5)+1)/5</f>
        <v>0.8041641695669639</v>
      </c>
      <c r="J11">
        <f>INDEX([1]contacts!$A$1:$P$16,INT((ROW(J11)-2)/5)+1,INT((COLUMN(J11)-2)/5)+1)/5</f>
        <v>0.8041641695669639</v>
      </c>
      <c r="K11">
        <f>INDEX([1]contacts!$A$1:$P$16,INT((ROW(K11)-2)/5)+1,INT((COLUMN(K11)-2)/5)+1)/5</f>
        <v>0.8041641695669639</v>
      </c>
      <c r="L11">
        <f>INDEX([1]contacts!$A$1:$P$16,INT((ROW(L11)-2)/5)+1,INT((COLUMN(L11)-2)/5)+1)/5</f>
        <v>0.15644692283686498</v>
      </c>
      <c r="M11">
        <f>INDEX([1]contacts!$A$1:$P$16,INT((ROW(M11)-2)/5)+1,INT((COLUMN(M11)-2)/5)+1)/5</f>
        <v>0.15644692283686498</v>
      </c>
      <c r="N11" cm="1">
        <f t="array" ref="N11">SUM(INDEX(contacts_original!$A$1:$O$15,
           INT((ROW(N11)-2)/5)+1,
           INT((COLUMN(N11)-2)/5)+1 + _xlfn.SEQUENCE(13,1,0,1)))</f>
        <v>4.9326734169754829</v>
      </c>
    </row>
    <row r="12" spans="1:14" x14ac:dyDescent="0.35">
      <c r="A12" s="1" t="s">
        <v>0</v>
      </c>
      <c r="B12">
        <f>INDEX([1]contacts!$A$1:$P$16,INT((ROW(B12)-2)/5)+1,INT((COLUMN(B12)-2)/5)+1)/5</f>
        <v>3.6383572099779077E-2</v>
      </c>
      <c r="C12">
        <f>INDEX([1]contacts!$A$1:$P$16,INT((ROW(C12)-2)/5)+1,INT((COLUMN(C12)-2)/5)+1)/5</f>
        <v>3.6383572099779077E-2</v>
      </c>
      <c r="D12">
        <f>INDEX([1]contacts!$A$1:$P$16,INT((ROW(D12)-2)/5)+1,INT((COLUMN(D12)-2)/5)+1)/5</f>
        <v>3.6383572099779077E-2</v>
      </c>
      <c r="E12">
        <f>INDEX([1]contacts!$A$1:$P$16,INT((ROW(E12)-2)/5)+1,INT((COLUMN(E12)-2)/5)+1)/5</f>
        <v>3.6383572099779077E-2</v>
      </c>
      <c r="F12">
        <f>INDEX([1]contacts!$A$1:$P$16,INT((ROW(F12)-2)/5)+1,INT((COLUMN(F12)-2)/5)+1)/5</f>
        <v>3.6383572099779077E-2</v>
      </c>
      <c r="G12">
        <f>INDEX([1]contacts!$A$1:$P$16,INT((ROW(G12)-2)/5)+1,INT((COLUMN(G12)-2)/5)+1)/5</f>
        <v>0.25597002835030275</v>
      </c>
      <c r="H12">
        <f>INDEX([1]contacts!$A$1:$P$16,INT((ROW(H12)-2)/5)+1,INT((COLUMN(H12)-2)/5)+1)/5</f>
        <v>0.25597002835030275</v>
      </c>
      <c r="I12">
        <f>INDEX([1]contacts!$A$1:$P$16,INT((ROW(I12)-2)/5)+1,INT((COLUMN(I12)-2)/5)+1)/5</f>
        <v>0.25597002835030275</v>
      </c>
      <c r="J12">
        <f>INDEX([1]contacts!$A$1:$P$16,INT((ROW(J12)-2)/5)+1,INT((COLUMN(J12)-2)/5)+1)/5</f>
        <v>0.25597002835030275</v>
      </c>
      <c r="K12">
        <f>INDEX([1]contacts!$A$1:$P$16,INT((ROW(K12)-2)/5)+1,INT((COLUMN(K12)-2)/5)+1)/5</f>
        <v>0.25597002835030275</v>
      </c>
      <c r="L12">
        <f>INDEX([1]contacts!$A$1:$P$16,INT((ROW(L12)-2)/5)+1,INT((COLUMN(L12)-2)/5)+1)/5</f>
        <v>1.1920094334633184</v>
      </c>
      <c r="M12">
        <f>INDEX([1]contacts!$A$1:$P$16,INT((ROW(M12)-2)/5)+1,INT((COLUMN(M12)-2)/5)+1)/5</f>
        <v>1.1920094334633184</v>
      </c>
      <c r="N12" cm="1">
        <f t="array" ref="N12">SUM(INDEX(contacts_original!$A$1:$O$15,
           INT((ROW(N12)-2)/5)+1,
           INT((COLUMN(N12)-2)/5)+1 + _xlfn.SEQUENCE(13,1,0,1)))</f>
        <v>10.234438581488178</v>
      </c>
    </row>
    <row r="13" spans="1:14" x14ac:dyDescent="0.35">
      <c r="A13" s="1" t="s">
        <v>1</v>
      </c>
      <c r="B13">
        <f>INDEX([1]contacts!$A$1:$P$16,INT((ROW(B13)-2)/5)+1,INT((COLUMN(B13)-2)/5)+1)/5</f>
        <v>3.6383572099779077E-2</v>
      </c>
      <c r="C13">
        <f>INDEX([1]contacts!$A$1:$P$16,INT((ROW(C13)-2)/5)+1,INT((COLUMN(C13)-2)/5)+1)/5</f>
        <v>3.6383572099779077E-2</v>
      </c>
      <c r="D13">
        <f>INDEX([1]contacts!$A$1:$P$16,INT((ROW(D13)-2)/5)+1,INT((COLUMN(D13)-2)/5)+1)/5</f>
        <v>3.6383572099779077E-2</v>
      </c>
      <c r="E13">
        <f>INDEX([1]contacts!$A$1:$P$16,INT((ROW(E13)-2)/5)+1,INT((COLUMN(E13)-2)/5)+1)/5</f>
        <v>3.6383572099779077E-2</v>
      </c>
      <c r="F13">
        <f>INDEX([1]contacts!$A$1:$P$16,INT((ROW(F13)-2)/5)+1,INT((COLUMN(F13)-2)/5)+1)/5</f>
        <v>3.6383572099779077E-2</v>
      </c>
      <c r="G13">
        <f>INDEX([1]contacts!$A$1:$P$16,INT((ROW(G13)-2)/5)+1,INT((COLUMN(G13)-2)/5)+1)/5</f>
        <v>0.25597002835030275</v>
      </c>
      <c r="H13">
        <f>INDEX([1]contacts!$A$1:$P$16,INT((ROW(H13)-2)/5)+1,INT((COLUMN(H13)-2)/5)+1)/5</f>
        <v>0.25597002835030275</v>
      </c>
      <c r="I13">
        <f>INDEX([1]contacts!$A$1:$P$16,INT((ROW(I13)-2)/5)+1,INT((COLUMN(I13)-2)/5)+1)/5</f>
        <v>0.25597002835030275</v>
      </c>
      <c r="J13">
        <f>INDEX([1]contacts!$A$1:$P$16,INT((ROW(J13)-2)/5)+1,INT((COLUMN(J13)-2)/5)+1)/5</f>
        <v>0.25597002835030275</v>
      </c>
      <c r="K13">
        <f>INDEX([1]contacts!$A$1:$P$16,INT((ROW(K13)-2)/5)+1,INT((COLUMN(K13)-2)/5)+1)/5</f>
        <v>0.25597002835030275</v>
      </c>
      <c r="L13">
        <f>INDEX([1]contacts!$A$1:$P$16,INT((ROW(L13)-2)/5)+1,INT((COLUMN(L13)-2)/5)+1)/5</f>
        <v>1.1920094334633184</v>
      </c>
      <c r="M13">
        <f>INDEX([1]contacts!$A$1:$P$16,INT((ROW(M13)-2)/5)+1,INT((COLUMN(M13)-2)/5)+1)/5</f>
        <v>1.1920094334633184</v>
      </c>
      <c r="N13" cm="1">
        <f t="array" ref="N13">SUM(INDEX(contacts_original!$A$1:$O$15,
           INT((ROW(N13)-2)/5)+1,
           INT((COLUMN(N13)-2)/5)+1 + _xlfn.SEQUENCE(13,1,0,1)))</f>
        <v>10.234438581488178</v>
      </c>
    </row>
    <row r="14" spans="1:14" x14ac:dyDescent="0.35">
      <c r="A14" s="1" t="s">
        <v>2</v>
      </c>
      <c r="B14" cm="1">
        <f t="array" ref="B14">SUM(INDEX(contacts_original!$A$1:$O$15,
INT((ROW(B14)-2)/5)+1+_xlfn.SEQUENCE(13,1,0,1),
INT((COLUMN(B14)/5)+1)))</f>
        <v>4.9184518804057058</v>
      </c>
      <c r="C14" cm="1">
        <f t="array" ref="C14">SUM(INDEX(contacts_original!$A$1:$O$15,
INT((ROW(C14)-2)/5)+1+_xlfn.SEQUENCE(13,1,0,1),
INT((COLUMN(C14)/5)+1)))</f>
        <v>4.9184518804057058</v>
      </c>
      <c r="D14" cm="1">
        <f t="array" ref="D14">SUM(INDEX(contacts_original!$A$1:$O$15,
INT((ROW(D14)-2)/5)+1+_xlfn.SEQUENCE(13,1,0,1),
INT((COLUMN(D14)/5)+1)))</f>
        <v>4.9184518804057058</v>
      </c>
      <c r="E14" cm="1">
        <f t="array" ref="E14">SUM(INDEX(contacts_original!$A$1:$O$15,
INT((ROW(E14)-2)/5)+1+_xlfn.SEQUENCE(13,1,0,1),
INT((COLUMN(E14)/5)+1)))</f>
        <v>7.9834252529999645</v>
      </c>
      <c r="F14" cm="1">
        <f t="array" ref="F14">SUM(INDEX(contacts_original!$A$1:$O$15,
INT((ROW(F14)-2)/5)+1+_xlfn.SEQUENCE(13,1,0,1),
INT((COLUMN(F14)/5)+1)))</f>
        <v>7.9834252529999645</v>
      </c>
      <c r="G14" cm="1">
        <f t="array" ref="G14">SUM(INDEX(contacts_original!$A$1:$O$15,
INT((ROW(G14)-2)/5)+1+_xlfn.SEQUENCE(13,1,0,1),
INT((COLUMN(G14)/5)+1)))</f>
        <v>7.9834252529999645</v>
      </c>
      <c r="H14" cm="1">
        <f t="array" ref="H14">SUM(INDEX(contacts_original!$A$1:$O$15,
INT((ROW(H14)-2)/5)+1+_xlfn.SEQUENCE(13,1,0,1),
INT((COLUMN(H14)/5)+1)))</f>
        <v>7.9834252529999645</v>
      </c>
      <c r="I14" cm="1">
        <f t="array" ref="I14">SUM(INDEX(contacts_original!$A$1:$O$15,
INT((ROW(I14)-2)/5)+1+_xlfn.SEQUENCE(13,1,0,1),
INT((COLUMN(I14)/5)+1)))</f>
        <v>7.9834252529999645</v>
      </c>
      <c r="J14" cm="1">
        <f t="array" ref="J14">SUM(INDEX(contacts_original!$A$1:$O$15,
INT((ROW(J14)-2)/5)+1+_xlfn.SEQUENCE(13,1,0,1),
INT((COLUMN(J14)/5)+1)))</f>
        <v>14.188927371612026</v>
      </c>
      <c r="K14" cm="1">
        <f t="array" ref="K14">SUM(INDEX(contacts_original!$A$1:$O$15,
INT((ROW(K14)-2)/5)+1+_xlfn.SEQUENCE(13,1,0,1),
INT((COLUMN(K14)/5)+1)))</f>
        <v>14.188927371612026</v>
      </c>
      <c r="L14" cm="1">
        <f t="array" ref="L14">SUM(INDEX(contacts_original!$A$1:$O$15,
INT((ROW(L14)-2)/5)+1+_xlfn.SEQUENCE(13,1,0,1),
INT((COLUMN(L14)/5)+1)))</f>
        <v>14.188927371612026</v>
      </c>
      <c r="M14" cm="1">
        <f t="array" ref="M14">SUM(INDEX(contacts_original!$A$1:$O$15,
INT((ROW(M14)-2)/5)+1+_xlfn.SEQUENCE(13,1,0,1),
INT((COLUMN(M14)/5)+1)))</f>
        <v>14.188927371612026</v>
      </c>
      <c r="N14">
        <f>SUM(contacts_original!E5:P16)/(ROW(P16)-ROW(E5))</f>
        <v>10.613871068702993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workbookViewId="0">
      <selection activeCell="E9" sqref="E9"/>
    </sheetView>
  </sheetViews>
  <sheetFormatPr defaultRowHeight="14.5" x14ac:dyDescent="0.35"/>
  <sheetData>
    <row r="1" spans="1:16" x14ac:dyDescent="0.35">
      <c r="A1">
        <v>2.8526575723699183</v>
      </c>
      <c r="B1">
        <v>0.78800612373044332</v>
      </c>
      <c r="C1">
        <v>0.3132288900893338</v>
      </c>
      <c r="D1">
        <v>0.2288615647554274</v>
      </c>
      <c r="E1">
        <v>0.29767159891424888</v>
      </c>
      <c r="F1">
        <v>0.56570216984398236</v>
      </c>
      <c r="G1">
        <v>0.90953882911926398</v>
      </c>
      <c r="H1">
        <v>0.87511218607224306</v>
      </c>
      <c r="I1">
        <v>0.48864816598174471</v>
      </c>
      <c r="J1">
        <v>0.23990513376934089</v>
      </c>
      <c r="K1">
        <v>0.26057923351133616</v>
      </c>
      <c r="L1">
        <v>0.25934326828901749</v>
      </c>
      <c r="M1">
        <v>0.1702886118505669</v>
      </c>
      <c r="N1">
        <v>0.13391031813038429</v>
      </c>
      <c r="O1">
        <v>7.943654161669314E-2</v>
      </c>
      <c r="P1">
        <v>4.5978534709152953E-2</v>
      </c>
    </row>
    <row r="2" spans="1:16" x14ac:dyDescent="0.35">
      <c r="A2">
        <v>0.74798781119245605</v>
      </c>
      <c r="B2">
        <v>4.0208208478348197</v>
      </c>
      <c r="C2">
        <v>0.78223461418432494</v>
      </c>
      <c r="D2">
        <v>0.24268956767583949</v>
      </c>
      <c r="E2">
        <v>0.14611108806525419</v>
      </c>
      <c r="F2">
        <v>0.37342154198065469</v>
      </c>
      <c r="G2">
        <v>0.73954666338103403</v>
      </c>
      <c r="H2">
        <v>0.86750187706701687</v>
      </c>
      <c r="I2">
        <v>0.75275045971173737</v>
      </c>
      <c r="J2">
        <v>0.28946760977602259</v>
      </c>
      <c r="K2">
        <v>0.19506386705038972</v>
      </c>
      <c r="L2">
        <v>0.20372243988499894</v>
      </c>
      <c r="M2">
        <v>0.1633151367432385</v>
      </c>
      <c r="N2">
        <v>0.12056695379951393</v>
      </c>
      <c r="O2">
        <v>5.6281597655457691E-2</v>
      </c>
      <c r="P2">
        <v>4.8207318134927096E-2</v>
      </c>
    </row>
    <row r="3" spans="1:16" x14ac:dyDescent="0.35">
      <c r="A3">
        <v>0.18191786049889538</v>
      </c>
      <c r="B3">
        <v>1.2798501417515138</v>
      </c>
      <c r="C3">
        <v>5.960047167316592</v>
      </c>
      <c r="D3">
        <v>0.69248402457529645</v>
      </c>
      <c r="E3">
        <v>0.24347758121507881</v>
      </c>
      <c r="F3">
        <v>0.2261246663352755</v>
      </c>
      <c r="G3">
        <v>0.40213238330808893</v>
      </c>
      <c r="H3">
        <v>0.71137797320968832</v>
      </c>
      <c r="I3">
        <v>0.88052543317592513</v>
      </c>
      <c r="J3">
        <v>0.43559458821245078</v>
      </c>
      <c r="K3">
        <v>0.2626216092017285</v>
      </c>
      <c r="L3">
        <v>0.15835814053939129</v>
      </c>
      <c r="M3">
        <v>9.167195897452983E-2</v>
      </c>
      <c r="N3">
        <v>9.7314634249690168E-2</v>
      </c>
      <c r="O3">
        <v>7.2708421174439222E-2</v>
      </c>
      <c r="P3">
        <v>6.3107975015704615E-2</v>
      </c>
    </row>
    <row r="4" spans="1:16" x14ac:dyDescent="0.35">
      <c r="A4">
        <v>0.12145288638974384</v>
      </c>
      <c r="B4">
        <v>0.29268863709960868</v>
      </c>
      <c r="C4">
        <v>2.2298211385146809</v>
      </c>
      <c r="D4">
        <v>8.5350145009825642</v>
      </c>
      <c r="E4">
        <v>1.2008018854306148</v>
      </c>
      <c r="F4">
        <v>0.58575466978934876</v>
      </c>
      <c r="G4">
        <v>0.53070391734848088</v>
      </c>
      <c r="H4">
        <v>0.77994085579210926</v>
      </c>
      <c r="I4">
        <v>0.94906997339236276</v>
      </c>
      <c r="J4">
        <v>0.90787975903133611</v>
      </c>
      <c r="K4">
        <v>0.49520391014276904</v>
      </c>
      <c r="L4">
        <v>0.18591334116540059</v>
      </c>
      <c r="M4">
        <v>8.1365553470857221E-2</v>
      </c>
      <c r="N4">
        <v>6.7253392302725229E-2</v>
      </c>
      <c r="O4">
        <v>3.9371841930417498E-2</v>
      </c>
      <c r="P4">
        <v>3.1470622696528561E-2</v>
      </c>
    </row>
    <row r="5" spans="1:16" x14ac:dyDescent="0.35">
      <c r="A5">
        <v>0.17751243370653902</v>
      </c>
      <c r="B5">
        <v>0.16583528702961151</v>
      </c>
      <c r="C5">
        <v>0.22078109651644226</v>
      </c>
      <c r="D5">
        <v>1.9775161327956141</v>
      </c>
      <c r="E5">
        <v>3.6391409502205612</v>
      </c>
      <c r="F5">
        <v>1.5716879914236039</v>
      </c>
      <c r="G5">
        <v>1.1589632722643488</v>
      </c>
      <c r="H5">
        <v>1.0934858662955906</v>
      </c>
      <c r="I5">
        <v>0.90537614963128743</v>
      </c>
      <c r="J5">
        <v>1.0587217466291792</v>
      </c>
      <c r="K5">
        <v>0.74886286626897913</v>
      </c>
      <c r="L5">
        <v>0.34467534773721031</v>
      </c>
      <c r="M5">
        <v>9.8531103688441896E-2</v>
      </c>
      <c r="N5">
        <v>5.9718213569636434E-2</v>
      </c>
      <c r="O5">
        <v>6.4247911968576182E-2</v>
      </c>
      <c r="P5">
        <v>5.6958676291767332E-2</v>
      </c>
    </row>
    <row r="6" spans="1:16" x14ac:dyDescent="0.35">
      <c r="A6">
        <v>0.39218157706456547</v>
      </c>
      <c r="B6">
        <v>0.23757914770699284</v>
      </c>
      <c r="C6">
        <v>0.12827031661172197</v>
      </c>
      <c r="D6">
        <v>0.68081182678153374</v>
      </c>
      <c r="E6">
        <v>1.808329368909096</v>
      </c>
      <c r="F6">
        <v>3.1029570985127441</v>
      </c>
      <c r="G6">
        <v>1.7513248941943671</v>
      </c>
      <c r="H6">
        <v>1.4413030765447172</v>
      </c>
      <c r="I6">
        <v>1.1691689076526128</v>
      </c>
      <c r="J6">
        <v>0.92641133918457519</v>
      </c>
      <c r="K6">
        <v>0.89860930750760737</v>
      </c>
      <c r="L6">
        <v>0.42985172386730691</v>
      </c>
      <c r="M6">
        <v>0.15349930268973311</v>
      </c>
      <c r="N6">
        <v>7.376974207198074E-2</v>
      </c>
      <c r="O6">
        <v>3.6498150087262704E-2</v>
      </c>
      <c r="P6">
        <v>3.1227542508267453E-2</v>
      </c>
    </row>
    <row r="7" spans="1:16" x14ac:dyDescent="0.35">
      <c r="A7">
        <v>0.67747151966025188</v>
      </c>
      <c r="B7">
        <v>0.90385420121189997</v>
      </c>
      <c r="C7">
        <v>0.60629486755591389</v>
      </c>
      <c r="D7">
        <v>0.46536486892313378</v>
      </c>
      <c r="E7">
        <v>1.0240331719793145</v>
      </c>
      <c r="F7">
        <v>1.7532163192453254</v>
      </c>
      <c r="G7">
        <v>3.2431698456650415</v>
      </c>
      <c r="H7">
        <v>2.1192439691587901</v>
      </c>
      <c r="I7">
        <v>1.4963843276365023</v>
      </c>
      <c r="J7">
        <v>1.0723193611663313</v>
      </c>
      <c r="K7">
        <v>0.8188511793540989</v>
      </c>
      <c r="L7">
        <v>0.5449939893895871</v>
      </c>
      <c r="M7">
        <v>0.29025694951489989</v>
      </c>
      <c r="N7">
        <v>0.14994999668019626</v>
      </c>
      <c r="O7">
        <v>7.4615491022516842E-2</v>
      </c>
      <c r="P7">
        <v>6.9263656218006231E-2</v>
      </c>
    </row>
    <row r="8" spans="1:16" x14ac:dyDescent="0.35">
      <c r="A8">
        <v>0.7516910209620995</v>
      </c>
      <c r="B8">
        <v>1.0965878050314755</v>
      </c>
      <c r="C8">
        <v>0.89633451454234059</v>
      </c>
      <c r="D8">
        <v>0.7066952634458159</v>
      </c>
      <c r="E8">
        <v>0.76026793900037837</v>
      </c>
      <c r="F8">
        <v>1.4008298561951795</v>
      </c>
      <c r="G8">
        <v>1.9971904550380679</v>
      </c>
      <c r="H8">
        <v>3.533886455217309</v>
      </c>
      <c r="I8">
        <v>2.2067575202872689</v>
      </c>
      <c r="J8">
        <v>1.2963450280406126</v>
      </c>
      <c r="K8">
        <v>0.87342187460639831</v>
      </c>
      <c r="L8">
        <v>0.44229663778056877</v>
      </c>
      <c r="M8">
        <v>0.35567899808382186</v>
      </c>
      <c r="N8">
        <v>0.25366270514865585</v>
      </c>
      <c r="O8">
        <v>0.14094537420055689</v>
      </c>
      <c r="P8">
        <v>5.6503282549795225E-2</v>
      </c>
    </row>
    <row r="9" spans="1:16" x14ac:dyDescent="0.35">
      <c r="A9">
        <v>0.3466139907572196</v>
      </c>
      <c r="B9">
        <v>0.6906909797733739</v>
      </c>
      <c r="C9">
        <v>0.88043410041946157</v>
      </c>
      <c r="D9">
        <v>1.1165358832292944</v>
      </c>
      <c r="E9">
        <v>0.88697013229600441</v>
      </c>
      <c r="F9">
        <v>1.1668795070802471</v>
      </c>
      <c r="G9">
        <v>1.6395511531964662</v>
      </c>
      <c r="H9">
        <v>1.9535927516077973</v>
      </c>
      <c r="I9">
        <v>2.8532759438068065</v>
      </c>
      <c r="J9">
        <v>1.5510060848028326</v>
      </c>
      <c r="K9">
        <v>1.0130489717862186</v>
      </c>
      <c r="L9">
        <v>0.27628155895770729</v>
      </c>
      <c r="M9">
        <v>0.20966305219709269</v>
      </c>
      <c r="N9">
        <v>0.1583141033229517</v>
      </c>
      <c r="O9">
        <v>0.10815003711197077</v>
      </c>
      <c r="P9">
        <v>5.4167718109059626E-2</v>
      </c>
    </row>
    <row r="10" spans="1:16" x14ac:dyDescent="0.35">
      <c r="A10">
        <v>0.34522464669886471</v>
      </c>
      <c r="B10">
        <v>0.44173525759568888</v>
      </c>
      <c r="C10">
        <v>0.51001350536634149</v>
      </c>
      <c r="D10">
        <v>1.3317247433890431</v>
      </c>
      <c r="E10">
        <v>0.80129622615125173</v>
      </c>
      <c r="F10">
        <v>0.90582148121608519</v>
      </c>
      <c r="G10">
        <v>1.190570470570915</v>
      </c>
      <c r="H10">
        <v>1.4040379584735454</v>
      </c>
      <c r="I10">
        <v>1.4374609385897048</v>
      </c>
      <c r="J10">
        <v>1.8381936117651174</v>
      </c>
      <c r="K10">
        <v>0.94320265407825077</v>
      </c>
      <c r="L10">
        <v>0.30763748100863564</v>
      </c>
      <c r="M10">
        <v>0.14336731315653933</v>
      </c>
      <c r="N10">
        <v>9.7296708990429734E-2</v>
      </c>
      <c r="O10">
        <v>8.5230350722489384E-2</v>
      </c>
      <c r="P10">
        <v>8.6354402195584601E-2</v>
      </c>
    </row>
    <row r="11" spans="1:16" x14ac:dyDescent="0.35">
      <c r="A11">
        <v>0.262252097951578</v>
      </c>
      <c r="B11">
        <v>0.58356375223295975</v>
      </c>
      <c r="C11">
        <v>0.84598085312856186</v>
      </c>
      <c r="D11">
        <v>1.2209471769420823</v>
      </c>
      <c r="E11">
        <v>0.95768957780581598</v>
      </c>
      <c r="F11">
        <v>1.1752762478075172</v>
      </c>
      <c r="G11">
        <v>1.1450043055610637</v>
      </c>
      <c r="H11">
        <v>1.1641989735213105</v>
      </c>
      <c r="I11">
        <v>1.4609564710536391</v>
      </c>
      <c r="J11">
        <v>1.5074753196408501</v>
      </c>
      <c r="K11">
        <v>1.6663361904644671</v>
      </c>
      <c r="L11">
        <v>0.65595196343941842</v>
      </c>
      <c r="M11">
        <v>0.27842166719246042</v>
      </c>
      <c r="N11">
        <v>0.1509187963572737</v>
      </c>
      <c r="O11">
        <v>0.10138093463305614</v>
      </c>
      <c r="P11">
        <v>0.10343785466624829</v>
      </c>
    </row>
    <row r="12" spans="1:16" x14ac:dyDescent="0.35">
      <c r="A12">
        <v>0.64352241913401964</v>
      </c>
      <c r="B12">
        <v>0.82160347225634223</v>
      </c>
      <c r="C12">
        <v>0.67759722362839092</v>
      </c>
      <c r="D12">
        <v>0.92463611267652712</v>
      </c>
      <c r="E12">
        <v>0.7143527858006361</v>
      </c>
      <c r="F12">
        <v>1.1400317539642812</v>
      </c>
      <c r="G12">
        <v>1.2261992473911922</v>
      </c>
      <c r="H12">
        <v>0.90394799852891106</v>
      </c>
      <c r="I12">
        <v>0.83918520921784612</v>
      </c>
      <c r="J12">
        <v>0.67435613556158081</v>
      </c>
      <c r="K12">
        <v>0.98316184741973778</v>
      </c>
      <c r="L12">
        <v>1.7413958432777212</v>
      </c>
      <c r="M12">
        <v>0.66513398202452079</v>
      </c>
      <c r="N12">
        <v>0.34069051783845811</v>
      </c>
      <c r="O12">
        <v>0.16505307982075199</v>
      </c>
      <c r="P12">
        <v>0.1299750481685138</v>
      </c>
    </row>
    <row r="13" spans="1:16" x14ac:dyDescent="0.35">
      <c r="A13">
        <v>0.51857782601756075</v>
      </c>
      <c r="B13">
        <v>0.47212343465502826</v>
      </c>
      <c r="C13">
        <v>0.31554519294056349</v>
      </c>
      <c r="D13">
        <v>0.4422736003673966</v>
      </c>
      <c r="E13">
        <v>0.42099577545551931</v>
      </c>
      <c r="F13">
        <v>0.63880119441739258</v>
      </c>
      <c r="G13">
        <v>0.91937498217836999</v>
      </c>
      <c r="H13">
        <v>0.93385619408722842</v>
      </c>
      <c r="I13">
        <v>0.60724320048444003</v>
      </c>
      <c r="J13">
        <v>0.41266138251768669</v>
      </c>
      <c r="K13">
        <v>0.46828036065381351</v>
      </c>
      <c r="L13">
        <v>0.86221850407393219</v>
      </c>
      <c r="M13">
        <v>1.3716355064165677</v>
      </c>
      <c r="N13">
        <v>0.57438832509642823</v>
      </c>
      <c r="O13">
        <v>0.31393199151857137</v>
      </c>
      <c r="P13">
        <v>0.13455504524655298</v>
      </c>
    </row>
    <row r="14" spans="1:16" x14ac:dyDescent="0.35">
      <c r="A14">
        <v>0.33829153695706998</v>
      </c>
      <c r="B14">
        <v>0.52167584312888859</v>
      </c>
      <c r="C14">
        <v>0.43746086506678189</v>
      </c>
      <c r="D14">
        <v>0.25681448170633348</v>
      </c>
      <c r="E14">
        <v>0.32091515618223382</v>
      </c>
      <c r="F14">
        <v>0.47119940973046309</v>
      </c>
      <c r="G14">
        <v>0.8417225363195231</v>
      </c>
      <c r="H14">
        <v>0.90529186520044214</v>
      </c>
      <c r="I14">
        <v>0.71694174243044206</v>
      </c>
      <c r="J14">
        <v>0.37410239834794057</v>
      </c>
      <c r="K14">
        <v>0.43599972704505197</v>
      </c>
      <c r="L14">
        <v>0.69401009077348907</v>
      </c>
      <c r="M14">
        <v>0.73294502921759108</v>
      </c>
      <c r="N14">
        <v>1.3033925542339098</v>
      </c>
      <c r="O14">
        <v>0.35527743124267469</v>
      </c>
      <c r="P14">
        <v>0.17346246923649153</v>
      </c>
    </row>
    <row r="15" spans="1:16" x14ac:dyDescent="0.35">
      <c r="A15">
        <v>0.16174206460729851</v>
      </c>
      <c r="B15">
        <v>0.47563729352658057</v>
      </c>
      <c r="C15">
        <v>0.4803465300042335</v>
      </c>
      <c r="D15">
        <v>0.45214206310456767</v>
      </c>
      <c r="E15">
        <v>0.20912012655019585</v>
      </c>
      <c r="F15">
        <v>0.37013092018488336</v>
      </c>
      <c r="G15">
        <v>0.42227466219272691</v>
      </c>
      <c r="H15">
        <v>0.77656237388440741</v>
      </c>
      <c r="I15">
        <v>0.7694466209962828</v>
      </c>
      <c r="J15">
        <v>0.55650142072593289</v>
      </c>
      <c r="K15">
        <v>0.43615965633651865</v>
      </c>
      <c r="L15">
        <v>0.47116236503155301</v>
      </c>
      <c r="M15">
        <v>0.78144367827806371</v>
      </c>
      <c r="N15">
        <v>0.77781358502330966</v>
      </c>
      <c r="O15">
        <v>1.0857488223430658</v>
      </c>
      <c r="P15">
        <v>0.33516213094445946</v>
      </c>
    </row>
    <row r="16" spans="1:16" x14ac:dyDescent="0.35">
      <c r="A16">
        <v>0.30451586881122589</v>
      </c>
      <c r="B16">
        <v>0.42430604489165441</v>
      </c>
      <c r="C16">
        <v>0.63359164646960375</v>
      </c>
      <c r="D16">
        <v>0.53087054325564709</v>
      </c>
      <c r="E16">
        <v>0.20912424660034384</v>
      </c>
      <c r="F16">
        <v>0.23115245619995087</v>
      </c>
      <c r="G16">
        <v>0.3987075942692061</v>
      </c>
      <c r="H16">
        <v>0.50388469096468524</v>
      </c>
      <c r="I16">
        <v>0.54874930257521881</v>
      </c>
      <c r="J16">
        <v>0.59575964313331153</v>
      </c>
      <c r="K16">
        <v>0.61562288721447922</v>
      </c>
      <c r="L16">
        <v>0.43251370407720857</v>
      </c>
      <c r="M16">
        <v>0.29998475959533377</v>
      </c>
      <c r="N16">
        <v>0.43147440761593042</v>
      </c>
      <c r="O16">
        <v>0.36104111216106738</v>
      </c>
      <c r="P16">
        <v>0.55053042147844322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contacts</vt:lpstr>
      <vt:lpstr>contacts_original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Csuma-Kovács Rita</dc:creator>
  <cp:lastModifiedBy>Rita Csuma-Kovács</cp:lastModifiedBy>
  <dcterms:created xsi:type="dcterms:W3CDTF">2015-06-05T18:19:34Z</dcterms:created>
  <dcterms:modified xsi:type="dcterms:W3CDTF">2026-04-23T15:11:09Z</dcterms:modified>
</cp:coreProperties>
</file>