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SURITA\PycharmProjects\PythonProject\counterfactual-analysis-vzv\resources\"/>
    </mc:Choice>
  </mc:AlternateContent>
  <xr:revisionPtr revIDLastSave="0" documentId="13_ncr:1_{584AF311-CEEF-4B3D-90E1-3DC04C1702F2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varicella" sheetId="1" r:id="rId1"/>
    <sheet name="varicella11" sheetId="2" r:id="rId2"/>
    <sheet name="varicella16" sheetId="3" r:id="rId3"/>
    <sheet name="age_distribution" sheetId="5" r:id="rId4"/>
    <sheet name="varicella16_relative" sheetId="4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5" l="1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2" i="5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B18" i="3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B3" i="4"/>
  <c r="B4" i="4"/>
  <c r="B5" i="4"/>
  <c r="B6" i="4"/>
  <c r="B7" i="4"/>
  <c r="B8" i="4"/>
  <c r="B9" i="4"/>
  <c r="B10" i="4"/>
  <c r="B11" i="4"/>
  <c r="B12" i="4"/>
  <c r="B13" i="4"/>
  <c r="B14" i="4"/>
  <c r="B2" i="4"/>
  <c r="Q4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B17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U4" i="3"/>
  <c r="T4" i="3"/>
  <c r="S4" i="3"/>
  <c r="R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B12" i="2"/>
  <c r="B3" i="2"/>
  <c r="B4" i="2"/>
  <c r="B5" i="2"/>
  <c r="B6" i="2"/>
  <c r="B7" i="2"/>
  <c r="B8" i="2"/>
  <c r="B9" i="2"/>
  <c r="B10" i="2"/>
  <c r="B11" i="2"/>
  <c r="B2" i="2"/>
  <c r="U18" i="5" l="1"/>
  <c r="E18" i="5"/>
  <c r="T18" i="5"/>
  <c r="S18" i="5"/>
  <c r="R18" i="5"/>
  <c r="H18" i="5"/>
  <c r="Q18" i="5"/>
  <c r="O18" i="5"/>
  <c r="P18" i="5"/>
  <c r="L18" i="5"/>
  <c r="K18" i="5"/>
  <c r="F18" i="5"/>
  <c r="N18" i="5"/>
  <c r="G18" i="5"/>
  <c r="C18" i="5"/>
  <c r="M18" i="5"/>
  <c r="D18" i="5"/>
  <c r="J18" i="5"/>
  <c r="I18" i="5"/>
  <c r="B18" i="5"/>
</calcChain>
</file>

<file path=xl/sharedStrings.xml><?xml version="1.0" encoding="utf-8"?>
<sst xmlns="http://schemas.openxmlformats.org/spreadsheetml/2006/main" count="9" uniqueCount="5">
  <si>
    <t>10-14</t>
  </si>
  <si>
    <t>15-19</t>
  </si>
  <si>
    <t>20+</t>
  </si>
  <si>
    <t>10+</t>
  </si>
  <si>
    <t>15+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</si>
</sst>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;[Red]#,##0"/>
    <numFmt numFmtId="165" formatCode="#,##0;;\-;@"/>
    <numFmt numFmtId="166" formatCode="_-* #,##0_-;\-* #,##0_-;_-* &quot;-&quot;??_-;_-@_-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9"/>
      <name val="Arial"/>
      <family val="2"/>
      <charset val="238"/>
    </font>
    <font>
      <sz val="10"/>
      <name val="Switzerland"/>
      <charset val="238"/>
    </font>
    <font>
      <b/>
      <sz val="10"/>
      <color theme="1"/>
      <name val="Arial"/>
      <family val="2"/>
      <charset val="238"/>
    </font>
    <font>
      <sz val="9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Font="0" applyFill="0" applyBorder="0" applyAlignment="0" applyProtection="0">
      <alignment vertical="top"/>
    </xf>
    <xf numFmtId="0" fontId="4" fillId="0" borderId="0"/>
    <xf numFmtId="0" fontId="2" fillId="0" borderId="0" applyNumberFormat="0" applyFont="0" applyFill="0" applyBorder="0" applyAlignment="0" applyProtection="0">
      <alignment vertical="top"/>
    </xf>
    <xf numFmtId="43" fontId="7" fillId="0" borderId="0" applyFont="0" applyFill="0" applyBorder="0" applyAlignment="0" applyProtection="0"/>
  </cellStyleXfs>
  <cellXfs count="15">
    <xf numFmtId="0" fontId="0" fillId="0" borderId="0" xfId="0"/>
    <xf numFmtId="0" fontId="3" fillId="0" borderId="0" xfId="1" applyNumberFormat="1" applyFont="1" applyFill="1" applyBorder="1" applyAlignment="1" applyProtection="1">
      <alignment horizontal="center" vertical="center"/>
    </xf>
    <xf numFmtId="0" fontId="3" fillId="0" borderId="0" xfId="1" applyNumberFormat="1" applyFont="1" applyFill="1" applyBorder="1" applyAlignment="1" applyProtection="1">
      <alignment horizontal="center" wrapText="1"/>
    </xf>
    <xf numFmtId="0" fontId="5" fillId="0" borderId="0" xfId="2" applyFont="1" applyAlignment="1">
      <alignment horizontal="center" wrapText="1"/>
    </xf>
    <xf numFmtId="164" fontId="6" fillId="0" borderId="0" xfId="3" applyNumberFormat="1" applyFont="1" applyFill="1" applyBorder="1" applyAlignment="1" applyProtection="1">
      <alignment horizontal="right" indent="1"/>
    </xf>
    <xf numFmtId="3" fontId="6" fillId="0" borderId="0" xfId="3" applyNumberFormat="1" applyFont="1" applyFill="1" applyBorder="1" applyAlignment="1" applyProtection="1">
      <alignment horizontal="right" indent="1"/>
    </xf>
    <xf numFmtId="165" fontId="2" fillId="0" borderId="0" xfId="0" applyNumberFormat="1" applyFont="1" applyAlignment="1">
      <alignment horizontal="right" indent="1"/>
    </xf>
    <xf numFmtId="49" fontId="0" fillId="0" borderId="0" xfId="0" applyNumberFormat="1"/>
    <xf numFmtId="166" fontId="0" fillId="0" borderId="0" xfId="4" applyNumberFormat="1" applyFont="1" applyBorder="1"/>
    <xf numFmtId="165" fontId="2" fillId="2" borderId="0" xfId="0" applyNumberFormat="1" applyFont="1" applyFill="1" applyAlignment="1">
      <alignment horizontal="right" indent="1"/>
    </xf>
    <xf numFmtId="0" fontId="9" fillId="0" borderId="0" xfId="1" applyNumberFormat="1" applyFont="1" applyFill="1" applyBorder="1" applyAlignment="1" applyProtection="1">
      <alignment horizontal="center" vertical="center"/>
    </xf>
    <xf numFmtId="0" fontId="1" fillId="0" borderId="0" xfId="0" applyFont="1"/>
    <xf numFmtId="49" fontId="1" fillId="0" borderId="0" xfId="0" applyNumberFormat="1" applyFont="1"/>
    <xf numFmtId="0" fontId="9" fillId="0" borderId="0" xfId="1" applyNumberFormat="1" applyFont="1" applyFill="1" applyBorder="1" applyAlignment="1" applyProtection="1">
      <alignment horizontal="center" wrapText="1"/>
    </xf>
    <xf numFmtId="0" fontId="8" fillId="0" borderId="0" xfId="2" applyFont="1" applyAlignment="1">
      <alignment horizontal="center" wrapText="1"/>
    </xf>
  </cellXfs>
  <cellStyles count="5">
    <cellStyle name="Ezres" xfId="4" builtinId="3"/>
    <cellStyle name="Normál" xfId="0" builtinId="0"/>
    <cellStyle name="Normál_11_életkor_2010" xfId="3" xr:uid="{AC01681B-100D-4CD7-BDBC-514CC0F44E15}"/>
    <cellStyle name="Normál_13_halálozás-életkor_2010" xfId="1" xr:uid="{026407D8-4BEB-4BF0-A83C-B11516D9F4DA}"/>
    <cellStyle name="Normál_2009.V.1-3" xfId="2" xr:uid="{A2E5DB0B-A1E5-413D-9011-92933966B1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Number of Cases</a:t>
            </a:r>
            <a:r>
              <a:rPr lang="hu-HU" baseline="0"/>
              <a:t> in Age Groups 0-4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varicella16!$A$2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varicella16!$B$1:$U$1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varicella16!$B$2:$U$2</c:f>
              <c:numCache>
                <c:formatCode>General</c:formatCode>
                <c:ptCount val="20"/>
                <c:pt idx="0">
                  <c:v>1815</c:v>
                </c:pt>
                <c:pt idx="1">
                  <c:v>1579</c:v>
                </c:pt>
                <c:pt idx="2">
                  <c:v>1633</c:v>
                </c:pt>
                <c:pt idx="3">
                  <c:v>1203</c:v>
                </c:pt>
                <c:pt idx="4">
                  <c:v>1443</c:v>
                </c:pt>
                <c:pt idx="5">
                  <c:v>1320</c:v>
                </c:pt>
                <c:pt idx="6">
                  <c:v>1245</c:v>
                </c:pt>
                <c:pt idx="7">
                  <c:v>1070</c:v>
                </c:pt>
                <c:pt idx="8">
                  <c:v>1252</c:v>
                </c:pt>
                <c:pt idx="9">
                  <c:v>1052</c:v>
                </c:pt>
                <c:pt idx="10">
                  <c:v>1577</c:v>
                </c:pt>
                <c:pt idx="11">
                  <c:v>1518</c:v>
                </c:pt>
                <c:pt idx="12">
                  <c:v>1343</c:v>
                </c:pt>
                <c:pt idx="13">
                  <c:v>948</c:v>
                </c:pt>
                <c:pt idx="14">
                  <c:v>1276</c:v>
                </c:pt>
                <c:pt idx="15">
                  <c:v>703</c:v>
                </c:pt>
                <c:pt idx="16">
                  <c:v>524</c:v>
                </c:pt>
                <c:pt idx="17">
                  <c:v>602</c:v>
                </c:pt>
                <c:pt idx="18">
                  <c:v>568</c:v>
                </c:pt>
                <c:pt idx="19">
                  <c:v>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C7-451E-8F74-2AFC4171CCAF}"/>
            </c:ext>
          </c:extLst>
        </c:ser>
        <c:ser>
          <c:idx val="1"/>
          <c:order val="1"/>
          <c:tx>
            <c:strRef>
              <c:f>varicella16!$A$3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varicella16!$B$1:$U$1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varicella16!$B$3:$U$3</c:f>
              <c:numCache>
                <c:formatCode>General</c:formatCode>
                <c:ptCount val="20"/>
                <c:pt idx="0">
                  <c:v>2850</c:v>
                </c:pt>
                <c:pt idx="1">
                  <c:v>2515</c:v>
                </c:pt>
                <c:pt idx="2">
                  <c:v>2660</c:v>
                </c:pt>
                <c:pt idx="3">
                  <c:v>2034</c:v>
                </c:pt>
                <c:pt idx="4">
                  <c:v>2397</c:v>
                </c:pt>
                <c:pt idx="5">
                  <c:v>2312</c:v>
                </c:pt>
                <c:pt idx="6">
                  <c:v>2342</c:v>
                </c:pt>
                <c:pt idx="7">
                  <c:v>1700</c:v>
                </c:pt>
                <c:pt idx="8">
                  <c:v>1988</c:v>
                </c:pt>
                <c:pt idx="9">
                  <c:v>1662</c:v>
                </c:pt>
                <c:pt idx="10">
                  <c:v>2581</c:v>
                </c:pt>
                <c:pt idx="11">
                  <c:v>2473</c:v>
                </c:pt>
                <c:pt idx="12">
                  <c:v>1984</c:v>
                </c:pt>
                <c:pt idx="13">
                  <c:v>1418</c:v>
                </c:pt>
                <c:pt idx="14">
                  <c:v>1696</c:v>
                </c:pt>
                <c:pt idx="15">
                  <c:v>563</c:v>
                </c:pt>
                <c:pt idx="16">
                  <c:v>205</c:v>
                </c:pt>
                <c:pt idx="17">
                  <c:v>310</c:v>
                </c:pt>
                <c:pt idx="18">
                  <c:v>247</c:v>
                </c:pt>
                <c:pt idx="19">
                  <c:v>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C7-451E-8F74-2AFC4171CCAF}"/>
            </c:ext>
          </c:extLst>
        </c:ser>
        <c:ser>
          <c:idx val="2"/>
          <c:order val="2"/>
          <c:tx>
            <c:strRef>
              <c:f>varicella16!$A$4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varicella16!$B$1:$U$1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varicella16!$B$4:$U$4</c:f>
              <c:numCache>
                <c:formatCode>General</c:formatCode>
                <c:ptCount val="20"/>
                <c:pt idx="0">
                  <c:v>3839</c:v>
                </c:pt>
                <c:pt idx="1">
                  <c:v>3352</c:v>
                </c:pt>
                <c:pt idx="2">
                  <c:v>3601</c:v>
                </c:pt>
                <c:pt idx="3">
                  <c:v>2784</c:v>
                </c:pt>
                <c:pt idx="4">
                  <c:v>3155</c:v>
                </c:pt>
                <c:pt idx="5">
                  <c:v>3086</c:v>
                </c:pt>
                <c:pt idx="6">
                  <c:v>3436</c:v>
                </c:pt>
                <c:pt idx="7">
                  <c:v>2639</c:v>
                </c:pt>
                <c:pt idx="8">
                  <c:v>2665</c:v>
                </c:pt>
                <c:pt idx="9">
                  <c:v>2308</c:v>
                </c:pt>
                <c:pt idx="10">
                  <c:v>3747</c:v>
                </c:pt>
                <c:pt idx="11">
                  <c:v>3210</c:v>
                </c:pt>
                <c:pt idx="12">
                  <c:v>2685</c:v>
                </c:pt>
                <c:pt idx="13">
                  <c:v>1824</c:v>
                </c:pt>
                <c:pt idx="14">
                  <c:v>2205</c:v>
                </c:pt>
                <c:pt idx="15">
                  <c:v>995</c:v>
                </c:pt>
                <c:pt idx="16">
                  <c:v>210</c:v>
                </c:pt>
                <c:pt idx="17">
                  <c:v>101</c:v>
                </c:pt>
                <c:pt idx="18">
                  <c:v>93</c:v>
                </c:pt>
                <c:pt idx="19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C7-451E-8F74-2AFC4171CCAF}"/>
            </c:ext>
          </c:extLst>
        </c:ser>
        <c:ser>
          <c:idx val="3"/>
          <c:order val="3"/>
          <c:tx>
            <c:strRef>
              <c:f>varicella16!$A$5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varicella16!$B$1:$U$1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varicella16!$B$5:$U$5</c:f>
              <c:numCache>
                <c:formatCode>General</c:formatCode>
                <c:ptCount val="20"/>
                <c:pt idx="0">
                  <c:v>7978</c:v>
                </c:pt>
                <c:pt idx="1">
                  <c:v>7278</c:v>
                </c:pt>
                <c:pt idx="2">
                  <c:v>7410</c:v>
                </c:pt>
                <c:pt idx="3">
                  <c:v>5672</c:v>
                </c:pt>
                <c:pt idx="4">
                  <c:v>6618</c:v>
                </c:pt>
                <c:pt idx="5">
                  <c:v>6703</c:v>
                </c:pt>
                <c:pt idx="6">
                  <c:v>6657</c:v>
                </c:pt>
                <c:pt idx="7">
                  <c:v>5740</c:v>
                </c:pt>
                <c:pt idx="8">
                  <c:v>5792</c:v>
                </c:pt>
                <c:pt idx="9">
                  <c:v>4713</c:v>
                </c:pt>
                <c:pt idx="10">
                  <c:v>6992</c:v>
                </c:pt>
                <c:pt idx="11">
                  <c:v>6336</c:v>
                </c:pt>
                <c:pt idx="12">
                  <c:v>5282</c:v>
                </c:pt>
                <c:pt idx="13">
                  <c:v>3937</c:v>
                </c:pt>
                <c:pt idx="14">
                  <c:v>4431</c:v>
                </c:pt>
                <c:pt idx="15">
                  <c:v>1921</c:v>
                </c:pt>
                <c:pt idx="16">
                  <c:v>1163</c:v>
                </c:pt>
                <c:pt idx="17">
                  <c:v>629</c:v>
                </c:pt>
                <c:pt idx="18">
                  <c:v>145</c:v>
                </c:pt>
                <c:pt idx="19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8C7-451E-8F74-2AFC4171CCAF}"/>
            </c:ext>
          </c:extLst>
        </c:ser>
        <c:ser>
          <c:idx val="4"/>
          <c:order val="4"/>
          <c:tx>
            <c:strRef>
              <c:f>varicella16!$A$6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varicella16!$B$1:$U$1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varicella16!$B$6:$U$6</c:f>
              <c:numCache>
                <c:formatCode>General</c:formatCode>
                <c:ptCount val="20"/>
                <c:pt idx="0">
                  <c:v>8954</c:v>
                </c:pt>
                <c:pt idx="1">
                  <c:v>8128</c:v>
                </c:pt>
                <c:pt idx="2">
                  <c:v>8195</c:v>
                </c:pt>
                <c:pt idx="3">
                  <c:v>6207</c:v>
                </c:pt>
                <c:pt idx="4">
                  <c:v>6978</c:v>
                </c:pt>
                <c:pt idx="5">
                  <c:v>7118</c:v>
                </c:pt>
                <c:pt idx="6">
                  <c:v>7244</c:v>
                </c:pt>
                <c:pt idx="7">
                  <c:v>6281</c:v>
                </c:pt>
                <c:pt idx="8">
                  <c:v>6387</c:v>
                </c:pt>
                <c:pt idx="9">
                  <c:v>5225</c:v>
                </c:pt>
                <c:pt idx="10">
                  <c:v>7376</c:v>
                </c:pt>
                <c:pt idx="11">
                  <c:v>6539</c:v>
                </c:pt>
                <c:pt idx="12">
                  <c:v>5779</c:v>
                </c:pt>
                <c:pt idx="13">
                  <c:v>4034</c:v>
                </c:pt>
                <c:pt idx="14">
                  <c:v>4981</c:v>
                </c:pt>
                <c:pt idx="15">
                  <c:v>2148</c:v>
                </c:pt>
                <c:pt idx="16">
                  <c:v>1554</c:v>
                </c:pt>
                <c:pt idx="17">
                  <c:v>2055</c:v>
                </c:pt>
                <c:pt idx="18">
                  <c:v>651</c:v>
                </c:pt>
                <c:pt idx="19">
                  <c:v>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8C7-451E-8F74-2AFC4171C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785967"/>
        <c:axId val="512785487"/>
      </c:lineChart>
      <c:catAx>
        <c:axId val="512785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12785487"/>
        <c:crosses val="autoZero"/>
        <c:auto val="1"/>
        <c:lblAlgn val="ctr"/>
        <c:lblOffset val="100"/>
        <c:noMultiLvlLbl val="0"/>
      </c:catAx>
      <c:valAx>
        <c:axId val="51278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1278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Number</a:t>
            </a:r>
            <a:r>
              <a:rPr lang="hu-HU" baseline="0"/>
              <a:t> of Cases in Age Groups 5-9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varicella16!$A$7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varicella16!$B$1:$U$1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varicella16!$B$7:$U$7</c:f>
              <c:numCache>
                <c:formatCode>General</c:formatCode>
                <c:ptCount val="20"/>
                <c:pt idx="0">
                  <c:v>7872</c:v>
                </c:pt>
                <c:pt idx="1">
                  <c:v>6764</c:v>
                </c:pt>
                <c:pt idx="2">
                  <c:v>7092</c:v>
                </c:pt>
                <c:pt idx="3">
                  <c:v>5301</c:v>
                </c:pt>
                <c:pt idx="4">
                  <c:v>5699</c:v>
                </c:pt>
                <c:pt idx="5">
                  <c:v>6109</c:v>
                </c:pt>
                <c:pt idx="6">
                  <c:v>6077</c:v>
                </c:pt>
                <c:pt idx="7">
                  <c:v>5140</c:v>
                </c:pt>
                <c:pt idx="8">
                  <c:v>5234</c:v>
                </c:pt>
                <c:pt idx="9">
                  <c:v>4560</c:v>
                </c:pt>
                <c:pt idx="10">
                  <c:v>6539</c:v>
                </c:pt>
                <c:pt idx="11">
                  <c:v>5405</c:v>
                </c:pt>
                <c:pt idx="12">
                  <c:v>4743</c:v>
                </c:pt>
                <c:pt idx="13">
                  <c:v>3487</c:v>
                </c:pt>
                <c:pt idx="14">
                  <c:v>4557</c:v>
                </c:pt>
                <c:pt idx="15">
                  <c:v>1954</c:v>
                </c:pt>
                <c:pt idx="16">
                  <c:v>1569</c:v>
                </c:pt>
                <c:pt idx="17">
                  <c:v>2325</c:v>
                </c:pt>
                <c:pt idx="18">
                  <c:v>2138</c:v>
                </c:pt>
                <c:pt idx="19">
                  <c:v>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76-4B95-9490-7DDEF8BB49D9}"/>
            </c:ext>
          </c:extLst>
        </c:ser>
        <c:ser>
          <c:idx val="1"/>
          <c:order val="1"/>
          <c:tx>
            <c:strRef>
              <c:f>varicella16!$A$8</c:f>
              <c:strCache>
                <c:ptCount val="1"/>
                <c:pt idx="0">
                  <c:v>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varicella16!$B$1:$U$1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varicella16!$B$8:$U$8</c:f>
              <c:numCache>
                <c:formatCode>General</c:formatCode>
                <c:ptCount val="20"/>
                <c:pt idx="0">
                  <c:v>5673</c:v>
                </c:pt>
                <c:pt idx="1">
                  <c:v>4856</c:v>
                </c:pt>
                <c:pt idx="2">
                  <c:v>5148</c:v>
                </c:pt>
                <c:pt idx="3">
                  <c:v>3813</c:v>
                </c:pt>
                <c:pt idx="4">
                  <c:v>4313</c:v>
                </c:pt>
                <c:pt idx="5">
                  <c:v>4117</c:v>
                </c:pt>
                <c:pt idx="6">
                  <c:v>4132</c:v>
                </c:pt>
                <c:pt idx="7">
                  <c:v>3516</c:v>
                </c:pt>
                <c:pt idx="8">
                  <c:v>3790</c:v>
                </c:pt>
                <c:pt idx="9">
                  <c:v>3200</c:v>
                </c:pt>
                <c:pt idx="10">
                  <c:v>4523</c:v>
                </c:pt>
                <c:pt idx="11">
                  <c:v>4056</c:v>
                </c:pt>
                <c:pt idx="12">
                  <c:v>3460</c:v>
                </c:pt>
                <c:pt idx="13">
                  <c:v>2569</c:v>
                </c:pt>
                <c:pt idx="14">
                  <c:v>3562</c:v>
                </c:pt>
                <c:pt idx="15">
                  <c:v>1527</c:v>
                </c:pt>
                <c:pt idx="16">
                  <c:v>1406</c:v>
                </c:pt>
                <c:pt idx="17">
                  <c:v>2123</c:v>
                </c:pt>
                <c:pt idx="18">
                  <c:v>2438</c:v>
                </c:pt>
                <c:pt idx="19">
                  <c:v>1615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76-4B95-9490-7DDEF8BB49D9}"/>
            </c:ext>
          </c:extLst>
        </c:ser>
        <c:ser>
          <c:idx val="2"/>
          <c:order val="2"/>
          <c:tx>
            <c:strRef>
              <c:f>varicella16!$A$9</c:f>
              <c:strCache>
                <c:ptCount val="1"/>
                <c:pt idx="0">
                  <c:v>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varicella16!$B$1:$U$1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varicella16!$B$9:$U$9</c:f>
              <c:numCache>
                <c:formatCode>General</c:formatCode>
                <c:ptCount val="20"/>
                <c:pt idx="0">
                  <c:v>3653</c:v>
                </c:pt>
                <c:pt idx="1">
                  <c:v>2890</c:v>
                </c:pt>
                <c:pt idx="2">
                  <c:v>2968</c:v>
                </c:pt>
                <c:pt idx="3">
                  <c:v>2351</c:v>
                </c:pt>
                <c:pt idx="4">
                  <c:v>2432</c:v>
                </c:pt>
                <c:pt idx="5">
                  <c:v>2332</c:v>
                </c:pt>
                <c:pt idx="6">
                  <c:v>2362</c:v>
                </c:pt>
                <c:pt idx="7">
                  <c:v>1972</c:v>
                </c:pt>
                <c:pt idx="8">
                  <c:v>2125</c:v>
                </c:pt>
                <c:pt idx="9">
                  <c:v>1808</c:v>
                </c:pt>
                <c:pt idx="10">
                  <c:v>2551</c:v>
                </c:pt>
                <c:pt idx="11">
                  <c:v>2332</c:v>
                </c:pt>
                <c:pt idx="12">
                  <c:v>2147</c:v>
                </c:pt>
                <c:pt idx="13">
                  <c:v>1593</c:v>
                </c:pt>
                <c:pt idx="14">
                  <c:v>2187</c:v>
                </c:pt>
                <c:pt idx="15">
                  <c:v>1116</c:v>
                </c:pt>
                <c:pt idx="16">
                  <c:v>989</c:v>
                </c:pt>
                <c:pt idx="17">
                  <c:v>1966</c:v>
                </c:pt>
                <c:pt idx="18">
                  <c:v>2540</c:v>
                </c:pt>
                <c:pt idx="19">
                  <c:v>2323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76-4B95-9490-7DDEF8BB49D9}"/>
            </c:ext>
          </c:extLst>
        </c:ser>
        <c:ser>
          <c:idx val="3"/>
          <c:order val="3"/>
          <c:tx>
            <c:strRef>
              <c:f>varicella16!$A$10</c:f>
              <c:strCache>
                <c:ptCount val="1"/>
                <c:pt idx="0">
                  <c:v>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varicella16!$B$1:$U$1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varicella16!$B$10:$U$10</c:f>
              <c:numCache>
                <c:formatCode>General</c:formatCode>
                <c:ptCount val="20"/>
                <c:pt idx="0">
                  <c:v>2453</c:v>
                </c:pt>
                <c:pt idx="1">
                  <c:v>2018</c:v>
                </c:pt>
                <c:pt idx="2">
                  <c:v>2193</c:v>
                </c:pt>
                <c:pt idx="3">
                  <c:v>1523</c:v>
                </c:pt>
                <c:pt idx="4">
                  <c:v>1623</c:v>
                </c:pt>
                <c:pt idx="5">
                  <c:v>1464</c:v>
                </c:pt>
                <c:pt idx="6">
                  <c:v>1581</c:v>
                </c:pt>
                <c:pt idx="7">
                  <c:v>1363</c:v>
                </c:pt>
                <c:pt idx="8">
                  <c:v>1268</c:v>
                </c:pt>
                <c:pt idx="9">
                  <c:v>1068</c:v>
                </c:pt>
                <c:pt idx="10">
                  <c:v>1609</c:v>
                </c:pt>
                <c:pt idx="11">
                  <c:v>1564</c:v>
                </c:pt>
                <c:pt idx="12">
                  <c:v>1657</c:v>
                </c:pt>
                <c:pt idx="13">
                  <c:v>1219</c:v>
                </c:pt>
                <c:pt idx="14">
                  <c:v>1419</c:v>
                </c:pt>
                <c:pt idx="15">
                  <c:v>708</c:v>
                </c:pt>
                <c:pt idx="16">
                  <c:v>671</c:v>
                </c:pt>
                <c:pt idx="17">
                  <c:v>1585</c:v>
                </c:pt>
                <c:pt idx="18">
                  <c:v>1978</c:v>
                </c:pt>
                <c:pt idx="19">
                  <c:v>1854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76-4B95-9490-7DDEF8BB49D9}"/>
            </c:ext>
          </c:extLst>
        </c:ser>
        <c:ser>
          <c:idx val="4"/>
          <c:order val="4"/>
          <c:tx>
            <c:strRef>
              <c:f>varicella16!$A$11</c:f>
              <c:strCache>
                <c:ptCount val="1"/>
                <c:pt idx="0">
                  <c:v>9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varicella16!$B$1:$U$1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varicella16!$B$11:$U$11</c:f>
              <c:numCache>
                <c:formatCode>General</c:formatCode>
                <c:ptCount val="20"/>
                <c:pt idx="0">
                  <c:v>1815</c:v>
                </c:pt>
                <c:pt idx="1">
                  <c:v>1495</c:v>
                </c:pt>
                <c:pt idx="2">
                  <c:v>1578</c:v>
                </c:pt>
                <c:pt idx="3">
                  <c:v>1086</c:v>
                </c:pt>
                <c:pt idx="4">
                  <c:v>1131</c:v>
                </c:pt>
                <c:pt idx="5">
                  <c:v>1025</c:v>
                </c:pt>
                <c:pt idx="6">
                  <c:v>1198</c:v>
                </c:pt>
                <c:pt idx="7">
                  <c:v>804</c:v>
                </c:pt>
                <c:pt idx="8">
                  <c:v>890</c:v>
                </c:pt>
                <c:pt idx="9">
                  <c:v>647</c:v>
                </c:pt>
                <c:pt idx="10">
                  <c:v>1038</c:v>
                </c:pt>
                <c:pt idx="11">
                  <c:v>1068</c:v>
                </c:pt>
                <c:pt idx="12">
                  <c:v>1043</c:v>
                </c:pt>
                <c:pt idx="13">
                  <c:v>784</c:v>
                </c:pt>
                <c:pt idx="14">
                  <c:v>998</c:v>
                </c:pt>
                <c:pt idx="15">
                  <c:v>520</c:v>
                </c:pt>
                <c:pt idx="16">
                  <c:v>413</c:v>
                </c:pt>
                <c:pt idx="17">
                  <c:v>1010</c:v>
                </c:pt>
                <c:pt idx="18">
                  <c:v>1449</c:v>
                </c:pt>
                <c:pt idx="19">
                  <c:v>1420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376-4B95-9490-7DDEF8BB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7064095"/>
        <c:axId val="517064575"/>
      </c:lineChart>
      <c:catAx>
        <c:axId val="517064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17064575"/>
        <c:crosses val="autoZero"/>
        <c:auto val="1"/>
        <c:lblAlgn val="ctr"/>
        <c:lblOffset val="100"/>
        <c:noMultiLvlLbl val="0"/>
      </c:catAx>
      <c:valAx>
        <c:axId val="51706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17064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Number</a:t>
            </a:r>
            <a:r>
              <a:rPr lang="hu-HU" baseline="0"/>
              <a:t> of Cases in Age Groups 10-14</a:t>
            </a:r>
            <a:endParaRPr lang="hu-H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varicella16!$A$12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varicella16!$B$1:$U$1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varicella16!$B$12:$U$12</c:f>
              <c:numCache>
                <c:formatCode>_-* #\ ##0_-;\-* #\ ##0_-;_-* "-"??_-;_-@_-</c:formatCode>
                <c:ptCount val="20"/>
                <c:pt idx="0">
                  <c:v>1242</c:v>
                </c:pt>
                <c:pt idx="1">
                  <c:v>1195</c:v>
                </c:pt>
                <c:pt idx="2">
                  <c:v>1185</c:v>
                </c:pt>
                <c:pt idx="3">
                  <c:v>895</c:v>
                </c:pt>
                <c:pt idx="4">
                  <c:v>901</c:v>
                </c:pt>
                <c:pt idx="5">
                  <c:v>771</c:v>
                </c:pt>
                <c:pt idx="6" formatCode="#\ ##0;[Red]#\ ##0">
                  <c:v>754</c:v>
                </c:pt>
                <c:pt idx="7" formatCode="#\ ##0;[Red]#\ ##0">
                  <c:v>608</c:v>
                </c:pt>
                <c:pt idx="8" formatCode="#,##0">
                  <c:v>638</c:v>
                </c:pt>
                <c:pt idx="9" formatCode="#\ ##0;;\-;@">
                  <c:v>520</c:v>
                </c:pt>
                <c:pt idx="10" formatCode="#\ ##0;;\-;@">
                  <c:v>692</c:v>
                </c:pt>
                <c:pt idx="11" formatCode="#\ ##0;;\-;@">
                  <c:v>761</c:v>
                </c:pt>
                <c:pt idx="12" formatCode="#\ ##0;;\-;@">
                  <c:v>755</c:v>
                </c:pt>
                <c:pt idx="13" formatCode="#\ ##0;;\-;@">
                  <c:v>581</c:v>
                </c:pt>
                <c:pt idx="14" formatCode="#\ ##0;;\-;@">
                  <c:v>812</c:v>
                </c:pt>
                <c:pt idx="15" formatCode="#\ ##0;;\-;@">
                  <c:v>316</c:v>
                </c:pt>
                <c:pt idx="16" formatCode="#\ ##0;;\-;@">
                  <c:v>334</c:v>
                </c:pt>
                <c:pt idx="17" formatCode="#\ ##0;;\-;@">
                  <c:v>690</c:v>
                </c:pt>
                <c:pt idx="18" formatCode="#\ ##0;;\-;@">
                  <c:v>995</c:v>
                </c:pt>
                <c:pt idx="19" formatCode="#\ ##0;;\-;@">
                  <c:v>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7-43B2-ABD7-4FE4B0222ECA}"/>
            </c:ext>
          </c:extLst>
        </c:ser>
        <c:ser>
          <c:idx val="1"/>
          <c:order val="1"/>
          <c:tx>
            <c:strRef>
              <c:f>varicella16!$A$13</c:f>
              <c:strCache>
                <c:ptCount val="1"/>
                <c:pt idx="0">
                  <c:v>11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varicella16!$B$1:$U$1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varicella16!$B$13:$U$13</c:f>
              <c:numCache>
                <c:formatCode>_-* #\ ##0_-;\-* #\ ##0_-;_-* "-"??_-;_-@_-</c:formatCode>
                <c:ptCount val="20"/>
                <c:pt idx="0">
                  <c:v>840</c:v>
                </c:pt>
                <c:pt idx="1">
                  <c:v>784</c:v>
                </c:pt>
                <c:pt idx="2">
                  <c:v>911</c:v>
                </c:pt>
                <c:pt idx="3">
                  <c:v>676</c:v>
                </c:pt>
                <c:pt idx="4">
                  <c:v>704</c:v>
                </c:pt>
                <c:pt idx="5">
                  <c:v>540</c:v>
                </c:pt>
                <c:pt idx="6" formatCode="#\ ##0;[Red]#\ ##0">
                  <c:v>553</c:v>
                </c:pt>
                <c:pt idx="7" formatCode="#\ ##0;[Red]#\ ##0">
                  <c:v>496</c:v>
                </c:pt>
                <c:pt idx="8" formatCode="#,##0">
                  <c:v>510</c:v>
                </c:pt>
                <c:pt idx="9" formatCode="#\ ##0;;\-;@">
                  <c:v>350</c:v>
                </c:pt>
                <c:pt idx="10" formatCode="#\ ##0;;\-;@">
                  <c:v>460</c:v>
                </c:pt>
                <c:pt idx="11" formatCode="#\ ##0;;\-;@">
                  <c:v>535</c:v>
                </c:pt>
                <c:pt idx="12" formatCode="#\ ##0;;\-;@">
                  <c:v>482</c:v>
                </c:pt>
                <c:pt idx="13" formatCode="#\ ##0;;\-;@">
                  <c:v>372</c:v>
                </c:pt>
                <c:pt idx="14" formatCode="#\ ##0;;\-;@">
                  <c:v>490</c:v>
                </c:pt>
                <c:pt idx="15" formatCode="#\ ##0;;\-;@">
                  <c:v>236</c:v>
                </c:pt>
                <c:pt idx="16" formatCode="#\ ##0;;\-;@">
                  <c:v>229</c:v>
                </c:pt>
                <c:pt idx="17" formatCode="#\ ##0;;\-;@">
                  <c:v>443</c:v>
                </c:pt>
                <c:pt idx="18" formatCode="#\ ##0;;\-;@">
                  <c:v>667</c:v>
                </c:pt>
                <c:pt idx="19" formatCode="#\ ##0;;\-;@">
                  <c:v>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F7-43B2-ABD7-4FE4B0222ECA}"/>
            </c:ext>
          </c:extLst>
        </c:ser>
        <c:ser>
          <c:idx val="2"/>
          <c:order val="2"/>
          <c:tx>
            <c:strRef>
              <c:f>varicella16!$A$14</c:f>
              <c:strCache>
                <c:ptCount val="1"/>
                <c:pt idx="0">
                  <c:v>12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varicella16!$B$1:$U$1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varicella16!$B$14:$U$14</c:f>
              <c:numCache>
                <c:formatCode>_-* #\ ##0_-;\-* #\ ##0_-;_-* "-"??_-;_-@_-</c:formatCode>
                <c:ptCount val="20"/>
                <c:pt idx="0">
                  <c:v>594</c:v>
                </c:pt>
                <c:pt idx="1">
                  <c:v>606</c:v>
                </c:pt>
                <c:pt idx="2">
                  <c:v>731</c:v>
                </c:pt>
                <c:pt idx="3">
                  <c:v>569</c:v>
                </c:pt>
                <c:pt idx="4">
                  <c:v>534</c:v>
                </c:pt>
                <c:pt idx="5">
                  <c:v>512</c:v>
                </c:pt>
                <c:pt idx="6" formatCode="#\ ##0;[Red]#\ ##0">
                  <c:v>448</c:v>
                </c:pt>
                <c:pt idx="7" formatCode="#\ ##0;[Red]#\ ##0">
                  <c:v>341</c:v>
                </c:pt>
                <c:pt idx="8" formatCode="#,##0">
                  <c:v>392</c:v>
                </c:pt>
                <c:pt idx="9" formatCode="#\ ##0;;\-;@">
                  <c:v>287</c:v>
                </c:pt>
                <c:pt idx="10" formatCode="#\ ##0;;\-;@">
                  <c:v>361</c:v>
                </c:pt>
                <c:pt idx="11" formatCode="#\ ##0;;\-;@">
                  <c:v>392</c:v>
                </c:pt>
                <c:pt idx="12" formatCode="#\ ##0;;\-;@">
                  <c:v>388</c:v>
                </c:pt>
                <c:pt idx="13" formatCode="#\ ##0;;\-;@">
                  <c:v>283</c:v>
                </c:pt>
                <c:pt idx="14" formatCode="#\ ##0;;\-;@">
                  <c:v>390</c:v>
                </c:pt>
                <c:pt idx="15" formatCode="#\ ##0;;\-;@">
                  <c:v>187</c:v>
                </c:pt>
                <c:pt idx="16" formatCode="#\ ##0;;\-;@">
                  <c:v>176</c:v>
                </c:pt>
                <c:pt idx="17" formatCode="#\ ##0;;\-;@">
                  <c:v>328</c:v>
                </c:pt>
                <c:pt idx="18" formatCode="#\ ##0;;\-;@">
                  <c:v>450</c:v>
                </c:pt>
                <c:pt idx="19" formatCode="#\ ##0;;\-;@">
                  <c:v>490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F7-43B2-ABD7-4FE4B0222ECA}"/>
            </c:ext>
          </c:extLst>
        </c:ser>
        <c:ser>
          <c:idx val="3"/>
          <c:order val="3"/>
          <c:tx>
            <c:strRef>
              <c:f>varicella16!$A$15</c:f>
              <c:strCache>
                <c:ptCount val="1"/>
                <c:pt idx="0">
                  <c:v>13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varicella16!$B$1:$U$1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varicella16!$B$15:$U$15</c:f>
              <c:numCache>
                <c:formatCode>_-* #\ ##0_-;\-* #\ ##0_-;_-* "-"??_-;_-@_-</c:formatCode>
                <c:ptCount val="20"/>
                <c:pt idx="0">
                  <c:v>583</c:v>
                </c:pt>
                <c:pt idx="1">
                  <c:v>522</c:v>
                </c:pt>
                <c:pt idx="2">
                  <c:v>564</c:v>
                </c:pt>
                <c:pt idx="3">
                  <c:v>364</c:v>
                </c:pt>
                <c:pt idx="4">
                  <c:v>512</c:v>
                </c:pt>
                <c:pt idx="5">
                  <c:v>381</c:v>
                </c:pt>
                <c:pt idx="6" formatCode="#\ ##0;[Red]#\ ##0">
                  <c:v>385</c:v>
                </c:pt>
                <c:pt idx="7" formatCode="#\ ##0;[Red]#\ ##0">
                  <c:v>293</c:v>
                </c:pt>
                <c:pt idx="8" formatCode="#,##0">
                  <c:v>248</c:v>
                </c:pt>
                <c:pt idx="9" formatCode="#\ ##0;;\-;@">
                  <c:v>248</c:v>
                </c:pt>
                <c:pt idx="10" formatCode="#\ ##0;;\-;@">
                  <c:v>266</c:v>
                </c:pt>
                <c:pt idx="11" formatCode="#\ ##0;;\-;@">
                  <c:v>286</c:v>
                </c:pt>
                <c:pt idx="12" formatCode="#\ ##0;;\-;@">
                  <c:v>307</c:v>
                </c:pt>
                <c:pt idx="13" formatCode="#\ ##0;;\-;@">
                  <c:v>231</c:v>
                </c:pt>
                <c:pt idx="14" formatCode="#\ ##0;;\-;@">
                  <c:v>301</c:v>
                </c:pt>
                <c:pt idx="15" formatCode="#\ ##0;;\-;@">
                  <c:v>141</c:v>
                </c:pt>
                <c:pt idx="16" formatCode="#\ ##0;;\-;@">
                  <c:v>138</c:v>
                </c:pt>
                <c:pt idx="17" formatCode="#\ ##0;;\-;@">
                  <c:v>281</c:v>
                </c:pt>
                <c:pt idx="18" formatCode="#\ ##0;;\-;@">
                  <c:v>382</c:v>
                </c:pt>
                <c:pt idx="19" formatCode="#\ ##0;;\-;@">
                  <c:v>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F7-43B2-ABD7-4FE4B0222ECA}"/>
            </c:ext>
          </c:extLst>
        </c:ser>
        <c:ser>
          <c:idx val="4"/>
          <c:order val="4"/>
          <c:tx>
            <c:strRef>
              <c:f>varicella16!$A$16</c:f>
              <c:strCache>
                <c:ptCount val="1"/>
                <c:pt idx="0">
                  <c:v>14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varicella16!$B$1:$U$1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varicella16!$B$16:$U$16</c:f>
              <c:numCache>
                <c:formatCode>_-* #\ ##0_-;\-* #\ ##0_-;_-* "-"??_-;_-@_-</c:formatCode>
                <c:ptCount val="20"/>
                <c:pt idx="0">
                  <c:v>360</c:v>
                </c:pt>
                <c:pt idx="1">
                  <c:v>326</c:v>
                </c:pt>
                <c:pt idx="2">
                  <c:v>418</c:v>
                </c:pt>
                <c:pt idx="3">
                  <c:v>359</c:v>
                </c:pt>
                <c:pt idx="4">
                  <c:v>344</c:v>
                </c:pt>
                <c:pt idx="5">
                  <c:v>357</c:v>
                </c:pt>
                <c:pt idx="6" formatCode="#\ ##0;[Red]#\ ##0">
                  <c:v>318</c:v>
                </c:pt>
                <c:pt idx="7" formatCode="#\ ##0;[Red]#\ ##0">
                  <c:v>233</c:v>
                </c:pt>
                <c:pt idx="8" formatCode="#,##0">
                  <c:v>223</c:v>
                </c:pt>
                <c:pt idx="9" formatCode="#\ ##0;;\-;@">
                  <c:v>185</c:v>
                </c:pt>
                <c:pt idx="10" formatCode="#\ ##0;;\-;@">
                  <c:v>203</c:v>
                </c:pt>
                <c:pt idx="11" formatCode="#\ ##0;;\-;@">
                  <c:v>253</c:v>
                </c:pt>
                <c:pt idx="12" formatCode="#\ ##0;;\-;@">
                  <c:v>243</c:v>
                </c:pt>
                <c:pt idx="13" formatCode="#\ ##0;;\-;@">
                  <c:v>168</c:v>
                </c:pt>
                <c:pt idx="14" formatCode="#\ ##0;;\-;@">
                  <c:v>196</c:v>
                </c:pt>
                <c:pt idx="15" formatCode="#\ ##0;;\-;@">
                  <c:v>111</c:v>
                </c:pt>
                <c:pt idx="16" formatCode="#\ ##0;;\-;@">
                  <c:v>81</c:v>
                </c:pt>
                <c:pt idx="17" formatCode="#\ ##0;;\-;@">
                  <c:v>179</c:v>
                </c:pt>
                <c:pt idx="18" formatCode="#\ ##0;;\-;@">
                  <c:v>249</c:v>
                </c:pt>
                <c:pt idx="19" formatCode="#\ ##0;;\-;@">
                  <c:v>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7F7-43B2-ABD7-4FE4B0222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9848415"/>
        <c:axId val="789849375"/>
      </c:lineChart>
      <c:catAx>
        <c:axId val="78984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789849375"/>
        <c:crosses val="autoZero"/>
        <c:auto val="1"/>
        <c:lblAlgn val="ctr"/>
        <c:lblOffset val="100"/>
        <c:noMultiLvlLbl val="0"/>
      </c:catAx>
      <c:valAx>
        <c:axId val="78984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789848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Number of Cases</a:t>
            </a:r>
            <a:r>
              <a:rPr lang="hu-HU" baseline="0"/>
              <a:t> in Age Group </a:t>
            </a:r>
            <a:r>
              <a:rPr lang="en-US"/>
              <a:t>15+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varicella16!$A$17</c:f>
              <c:strCache>
                <c:ptCount val="1"/>
                <c:pt idx="0">
                  <c:v>15+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varicella16!$B$1:$U$1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varicella16!$B$17:$U$17</c:f>
              <c:numCache>
                <c:formatCode>General</c:formatCode>
                <c:ptCount val="20"/>
                <c:pt idx="0">
                  <c:v>2087</c:v>
                </c:pt>
                <c:pt idx="1">
                  <c:v>2064</c:v>
                </c:pt>
                <c:pt idx="2">
                  <c:v>2026</c:v>
                </c:pt>
                <c:pt idx="3">
                  <c:v>1575</c:v>
                </c:pt>
                <c:pt idx="4">
                  <c:v>1676</c:v>
                </c:pt>
                <c:pt idx="5">
                  <c:v>1455</c:v>
                </c:pt>
                <c:pt idx="6">
                  <c:v>1657</c:v>
                </c:pt>
                <c:pt idx="7">
                  <c:v>1258</c:v>
                </c:pt>
                <c:pt idx="8">
                  <c:v>1196</c:v>
                </c:pt>
                <c:pt idx="9">
                  <c:v>1049</c:v>
                </c:pt>
                <c:pt idx="10">
                  <c:v>1105</c:v>
                </c:pt>
                <c:pt idx="11">
                  <c:v>1115</c:v>
                </c:pt>
                <c:pt idx="12">
                  <c:v>1094</c:v>
                </c:pt>
                <c:pt idx="13">
                  <c:v>728</c:v>
                </c:pt>
                <c:pt idx="14">
                  <c:v>901</c:v>
                </c:pt>
                <c:pt idx="15">
                  <c:v>454</c:v>
                </c:pt>
                <c:pt idx="16">
                  <c:v>354</c:v>
                </c:pt>
                <c:pt idx="17">
                  <c:v>569</c:v>
                </c:pt>
                <c:pt idx="18">
                  <c:v>587</c:v>
                </c:pt>
                <c:pt idx="19">
                  <c:v>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7A-4CDB-9510-2201D8E73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8348591"/>
        <c:axId val="598349551"/>
      </c:lineChart>
      <c:catAx>
        <c:axId val="59834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98349551"/>
        <c:crosses val="autoZero"/>
        <c:auto val="1"/>
        <c:lblAlgn val="ctr"/>
        <c:lblOffset val="100"/>
        <c:noMultiLvlLbl val="0"/>
      </c:catAx>
      <c:valAx>
        <c:axId val="59834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98348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age_distribution!$B$2:$U$2</c:f>
              <c:numCache>
                <c:formatCode>General</c:formatCode>
                <c:ptCount val="20"/>
                <c:pt idx="0">
                  <c:v>3.4500456204379561E-2</c:v>
                </c:pt>
                <c:pt idx="1">
                  <c:v>3.4050720262227205E-2</c:v>
                </c:pt>
                <c:pt idx="2">
                  <c:v>3.3800426386272849E-2</c:v>
                </c:pt>
                <c:pt idx="3">
                  <c:v>3.3038558716906516E-2</c:v>
                </c:pt>
                <c:pt idx="4">
                  <c:v>3.5664854176964904E-2</c:v>
                </c:pt>
                <c:pt idx="5">
                  <c:v>3.3331649916670876E-2</c:v>
                </c:pt>
                <c:pt idx="6">
                  <c:v>3.0825224689890813E-2</c:v>
                </c:pt>
                <c:pt idx="7">
                  <c:v>3.1984217133975014E-2</c:v>
                </c:pt>
                <c:pt idx="8">
                  <c:v>3.6187062836002079E-2</c:v>
                </c:pt>
                <c:pt idx="9">
                  <c:v>3.6424070355238557E-2</c:v>
                </c:pt>
                <c:pt idx="10">
                  <c:v>3.7890437289764538E-2</c:v>
                </c:pt>
                <c:pt idx="11">
                  <c:v>4.0113098855798959E-2</c:v>
                </c:pt>
                <c:pt idx="12">
                  <c:v>4.0219214183037852E-2</c:v>
                </c:pt>
                <c:pt idx="13">
                  <c:v>3.9212442091330242E-2</c:v>
                </c:pt>
                <c:pt idx="14">
                  <c:v>4.1970922965594369E-2</c:v>
                </c:pt>
                <c:pt idx="15">
                  <c:v>5.1691176470588233E-2</c:v>
                </c:pt>
                <c:pt idx="16">
                  <c:v>5.231629392971246E-2</c:v>
                </c:pt>
                <c:pt idx="17">
                  <c:v>3.9615688339036587E-2</c:v>
                </c:pt>
                <c:pt idx="18">
                  <c:v>3.6464017461642163E-2</c:v>
                </c:pt>
                <c:pt idx="19">
                  <c:v>3.975144705481784E-2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6E-40E1-B730-AB1A45F8DCF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age_distribution!$B$3:$U$3</c:f>
              <c:numCache>
                <c:formatCode>General</c:formatCode>
                <c:ptCount val="20"/>
                <c:pt idx="0">
                  <c:v>5.4174270072992699E-2</c:v>
                </c:pt>
                <c:pt idx="1">
                  <c:v>5.4235314413870438E-2</c:v>
                </c:pt>
                <c:pt idx="2">
                  <c:v>5.5057644940285221E-2</c:v>
                </c:pt>
                <c:pt idx="3">
                  <c:v>5.5860705262001535E-2</c:v>
                </c:pt>
                <c:pt idx="4">
                  <c:v>5.9243697478991594E-2</c:v>
                </c:pt>
                <c:pt idx="5">
                  <c:v>5.8380889854047775E-2</c:v>
                </c:pt>
                <c:pt idx="6">
                  <c:v>5.7986085320260464E-2</c:v>
                </c:pt>
                <c:pt idx="7">
                  <c:v>5.0816045913792074E-2</c:v>
                </c:pt>
                <c:pt idx="8">
                  <c:v>5.7459968784322794E-2</c:v>
                </c:pt>
                <c:pt idx="9">
                  <c:v>5.7544491378713383E-2</c:v>
                </c:pt>
                <c:pt idx="10">
                  <c:v>6.2013455069678036E-2</c:v>
                </c:pt>
                <c:pt idx="11">
                  <c:v>6.5348941680099359E-2</c:v>
                </c:pt>
                <c:pt idx="12">
                  <c:v>5.941542884523239E-2</c:v>
                </c:pt>
                <c:pt idx="13">
                  <c:v>5.8653209794837853E-2</c:v>
                </c:pt>
                <c:pt idx="14">
                  <c:v>5.5785803565554896E-2</c:v>
                </c:pt>
                <c:pt idx="15">
                  <c:v>4.1397058823529412E-2</c:v>
                </c:pt>
                <c:pt idx="16">
                  <c:v>2.0467252396166133E-2</c:v>
                </c:pt>
                <c:pt idx="17">
                  <c:v>2.0400105290866017E-2</c:v>
                </c:pt>
                <c:pt idx="18">
                  <c:v>1.5856711818707066E-2</c:v>
                </c:pt>
                <c:pt idx="19">
                  <c:v>1.2002042900919305E-2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6E-40E1-B730-AB1A45F8DCFE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age_distribution!$B$4:$U$4</c:f>
              <c:numCache>
                <c:formatCode>General</c:formatCode>
                <c:ptCount val="20"/>
                <c:pt idx="0">
                  <c:v>7.2973692214111915E-2</c:v>
                </c:pt>
                <c:pt idx="1">
                  <c:v>7.2284999568705252E-2</c:v>
                </c:pt>
                <c:pt idx="2">
                  <c:v>7.4534804296980103E-2</c:v>
                </c:pt>
                <c:pt idx="3">
                  <c:v>7.6458310447105354E-2</c:v>
                </c:pt>
                <c:pt idx="4">
                  <c:v>7.7978250123578841E-2</c:v>
                </c:pt>
                <c:pt idx="5">
                  <c:v>7.7925357305186613E-2</c:v>
                </c:pt>
                <c:pt idx="6">
                  <c:v>8.5072668300774965E-2</c:v>
                </c:pt>
                <c:pt idx="7">
                  <c:v>7.8884438333233692E-2</c:v>
                </c:pt>
                <c:pt idx="8">
                  <c:v>7.7027573848199318E-2</c:v>
                </c:pt>
                <c:pt idx="9">
                  <c:v>7.9911363478983449E-2</c:v>
                </c:pt>
                <c:pt idx="10">
                  <c:v>9.0028832292167224E-2</c:v>
                </c:pt>
                <c:pt idx="11">
                  <c:v>8.4824141849219145E-2</c:v>
                </c:pt>
                <c:pt idx="12">
                  <c:v>8.0408481073310972E-2</c:v>
                </c:pt>
                <c:pt idx="13">
                  <c:v>7.5446724023825282E-2</c:v>
                </c:pt>
                <c:pt idx="14">
                  <c:v>7.2528123149792775E-2</c:v>
                </c:pt>
                <c:pt idx="15">
                  <c:v>7.3161764705882357E-2</c:v>
                </c:pt>
                <c:pt idx="16">
                  <c:v>2.0966453674121407E-2</c:v>
                </c:pt>
                <c:pt idx="17">
                  <c:v>6.6464859173466706E-3</c:v>
                </c:pt>
                <c:pt idx="18">
                  <c:v>5.970340887205495E-3</c:v>
                </c:pt>
                <c:pt idx="19">
                  <c:v>4.8518896833503579E-3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6E-40E1-B730-AB1A45F8DCFE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age_distribution!$B$5:$U$5</c:f>
              <c:numCache>
                <c:formatCode>General</c:formatCode>
                <c:ptCount val="20"/>
                <c:pt idx="0">
                  <c:v>0.15164993917274938</c:v>
                </c:pt>
                <c:pt idx="1">
                  <c:v>0.15694815837143103</c:v>
                </c:pt>
                <c:pt idx="2">
                  <c:v>0.1533748680479374</c:v>
                </c:pt>
                <c:pt idx="3">
                  <c:v>0.15577282214654509</c:v>
                </c:pt>
                <c:pt idx="4">
                  <c:v>0.16356895699456253</c:v>
                </c:pt>
                <c:pt idx="5">
                  <c:v>0.16925912832685219</c:v>
                </c:pt>
                <c:pt idx="6">
                  <c:v>0.1648221050285969</c:v>
                </c:pt>
                <c:pt idx="7">
                  <c:v>0.17157888443833325</c:v>
                </c:pt>
                <c:pt idx="8">
                  <c:v>0.16740852072374127</c:v>
                </c:pt>
                <c:pt idx="9">
                  <c:v>0.16318122013710962</c:v>
                </c:pt>
                <c:pt idx="10">
                  <c:v>0.1679961556943777</c:v>
                </c:pt>
                <c:pt idx="11">
                  <c:v>0.16742858652855216</c:v>
                </c:pt>
                <c:pt idx="12">
                  <c:v>0.15818160038332535</c:v>
                </c:pt>
                <c:pt idx="13">
                  <c:v>0.16284745201853076</c:v>
                </c:pt>
                <c:pt idx="14">
                  <c:v>0.14574699032958358</c:v>
                </c:pt>
                <c:pt idx="15">
                  <c:v>0.14124999999999999</c:v>
                </c:pt>
                <c:pt idx="16">
                  <c:v>0.11611421725239617</c:v>
                </c:pt>
                <c:pt idx="17">
                  <c:v>4.1392471703079761E-2</c:v>
                </c:pt>
                <c:pt idx="18">
                  <c:v>9.3085960069332983E-3</c:v>
                </c:pt>
                <c:pt idx="19">
                  <c:v>7.4906367041198503E-3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6E-40E1-B730-AB1A45F8DCFE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age_distribution!$B$6:$U$6</c:f>
              <c:numCache>
                <c:formatCode>General</c:formatCode>
                <c:ptCount val="20"/>
                <c:pt idx="0">
                  <c:v>0.17020225060827252</c:v>
                </c:pt>
                <c:pt idx="1">
                  <c:v>0.17527818511170534</c:v>
                </c:pt>
                <c:pt idx="2">
                  <c:v>0.1696230828141494</c:v>
                </c:pt>
                <c:pt idx="3">
                  <c:v>0.17046578051191916</c:v>
                </c:pt>
                <c:pt idx="4">
                  <c:v>0.17246663371230844</c:v>
                </c:pt>
                <c:pt idx="5">
                  <c:v>0.179738397050654</c:v>
                </c:pt>
                <c:pt idx="6">
                  <c:v>0.17935576518358959</c:v>
                </c:pt>
                <c:pt idx="7">
                  <c:v>0.1877503437556047</c:v>
                </c:pt>
                <c:pt idx="8">
                  <c:v>0.18460604659228858</c:v>
                </c:pt>
                <c:pt idx="9">
                  <c:v>0.18090852434041965</c:v>
                </c:pt>
                <c:pt idx="10">
                  <c:v>0.17722248918789044</c:v>
                </c:pt>
                <c:pt idx="11">
                  <c:v>0.17279285468911026</c:v>
                </c:pt>
                <c:pt idx="12">
                  <c:v>0.17306540488739819</c:v>
                </c:pt>
                <c:pt idx="13">
                  <c:v>0.16685969556585042</c:v>
                </c:pt>
                <c:pt idx="14">
                  <c:v>0.16383790540096047</c:v>
                </c:pt>
                <c:pt idx="15">
                  <c:v>0.15794117647058822</c:v>
                </c:pt>
                <c:pt idx="16">
                  <c:v>0.15515175718849841</c:v>
                </c:pt>
                <c:pt idx="17">
                  <c:v>0.13523295604106345</c:v>
                </c:pt>
                <c:pt idx="18">
                  <c:v>4.1792386210438466E-2</c:v>
                </c:pt>
                <c:pt idx="19">
                  <c:v>9.7037793667007158E-3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6E-40E1-B730-AB1A45F8D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869471"/>
        <c:axId val="325997359"/>
      </c:lineChart>
      <c:catAx>
        <c:axId val="1428694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325997359"/>
        <c:crosses val="autoZero"/>
        <c:auto val="1"/>
        <c:lblAlgn val="ctr"/>
        <c:lblOffset val="100"/>
        <c:noMultiLvlLbl val="0"/>
      </c:catAx>
      <c:valAx>
        <c:axId val="32599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42869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age_distribution!$B$7:$U$7</c:f>
              <c:numCache>
                <c:formatCode>General</c:formatCode>
                <c:ptCount val="20"/>
                <c:pt idx="0">
                  <c:v>0.14963503649635038</c:v>
                </c:pt>
                <c:pt idx="1">
                  <c:v>0.14586388337790046</c:v>
                </c:pt>
                <c:pt idx="2">
                  <c:v>0.14679278869041459</c:v>
                </c:pt>
                <c:pt idx="3">
                  <c:v>0.14558387344831375</c:v>
                </c:pt>
                <c:pt idx="4">
                  <c:v>0.14085516559565003</c:v>
                </c:pt>
                <c:pt idx="5">
                  <c:v>0.1542598858643503</c:v>
                </c:pt>
                <c:pt idx="6">
                  <c:v>0.15046175938993289</c:v>
                </c:pt>
                <c:pt idx="7">
                  <c:v>0.15364380940993602</c:v>
                </c:pt>
                <c:pt idx="8">
                  <c:v>0.15128042083357421</c:v>
                </c:pt>
                <c:pt idx="9">
                  <c:v>0.15788380306072985</c:v>
                </c:pt>
                <c:pt idx="10">
                  <c:v>0.15711196540124939</c:v>
                </c:pt>
                <c:pt idx="11">
                  <c:v>0.14282694289564782</c:v>
                </c:pt>
                <c:pt idx="12">
                  <c:v>0.14204000958313368</c:v>
                </c:pt>
                <c:pt idx="13">
                  <c:v>0.14423395102581071</c:v>
                </c:pt>
                <c:pt idx="14">
                  <c:v>0.14989145450957173</c:v>
                </c:pt>
                <c:pt idx="15">
                  <c:v>0.14367647058823529</c:v>
                </c:pt>
                <c:pt idx="16">
                  <c:v>0.15664936102236421</c:v>
                </c:pt>
                <c:pt idx="17">
                  <c:v>0.15300078968149514</c:v>
                </c:pt>
                <c:pt idx="18">
                  <c:v>0.13725364319188546</c:v>
                </c:pt>
                <c:pt idx="19">
                  <c:v>4.0177051413006468E-2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73-4EB1-8A5B-BE3C4A31C62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age_distribution!$B$8:$U$8</c:f>
              <c:numCache>
                <c:formatCode>General</c:formatCode>
                <c:ptCount val="20"/>
                <c:pt idx="0">
                  <c:v>0.1078353102189781</c:v>
                </c:pt>
                <c:pt idx="1">
                  <c:v>0.10471836453032002</c:v>
                </c:pt>
                <c:pt idx="2">
                  <c:v>0.10655517148593546</c:v>
                </c:pt>
                <c:pt idx="3">
                  <c:v>0.10471822476106778</c:v>
                </c:pt>
                <c:pt idx="4">
                  <c:v>0.10659911023232822</c:v>
                </c:pt>
                <c:pt idx="5">
                  <c:v>0.10395939599010151</c:v>
                </c:pt>
                <c:pt idx="6">
                  <c:v>0.10230508306717176</c:v>
                </c:pt>
                <c:pt idx="7">
                  <c:v>0.1050995396664076</c:v>
                </c:pt>
                <c:pt idx="8">
                  <c:v>0.10954390427192323</c:v>
                </c:pt>
                <c:pt idx="9">
                  <c:v>0.11079565127068762</c:v>
                </c:pt>
                <c:pt idx="10">
                  <c:v>0.10867371456030754</c:v>
                </c:pt>
                <c:pt idx="11">
                  <c:v>0.10717966334592924</c:v>
                </c:pt>
                <c:pt idx="12">
                  <c:v>0.10361763296597988</c:v>
                </c:pt>
                <c:pt idx="13">
                  <c:v>0.10626240900066182</c:v>
                </c:pt>
                <c:pt idx="14">
                  <c:v>0.1171633445168081</c:v>
                </c:pt>
                <c:pt idx="15">
                  <c:v>0.11227941176470588</c:v>
                </c:pt>
                <c:pt idx="16">
                  <c:v>0.14037539936102236</c:v>
                </c:pt>
                <c:pt idx="17">
                  <c:v>0.13970781784680178</c:v>
                </c:pt>
                <c:pt idx="18">
                  <c:v>0.15651280734416126</c:v>
                </c:pt>
                <c:pt idx="19">
                  <c:v>0.13747020769492679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73-4EB1-8A5B-BE3C4A31C62E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age_distribution!$B$9:$U$9</c:f>
              <c:numCache>
                <c:formatCode>General</c:formatCode>
                <c:ptCount val="20"/>
                <c:pt idx="0">
                  <c:v>6.9438108272506086E-2</c:v>
                </c:pt>
                <c:pt idx="1">
                  <c:v>6.2322090916932631E-2</c:v>
                </c:pt>
                <c:pt idx="2">
                  <c:v>6.1432740670212989E-2</c:v>
                </c:pt>
                <c:pt idx="3">
                  <c:v>6.4566626386905412E-2</c:v>
                </c:pt>
                <c:pt idx="4">
                  <c:v>6.0108749382105781E-2</c:v>
                </c:pt>
                <c:pt idx="5">
                  <c:v>5.8885914852785215E-2</c:v>
                </c:pt>
                <c:pt idx="6">
                  <c:v>5.848126965262819E-2</c:v>
                </c:pt>
                <c:pt idx="7">
                  <c:v>5.8946613259998802E-2</c:v>
                </c:pt>
                <c:pt idx="8">
                  <c:v>6.1419735244811841E-2</c:v>
                </c:pt>
                <c:pt idx="9">
                  <c:v>6.2599542967938515E-2</c:v>
                </c:pt>
                <c:pt idx="10">
                  <c:v>6.1292647765497359E-2</c:v>
                </c:pt>
                <c:pt idx="11">
                  <c:v>6.1623021430647677E-2</c:v>
                </c:pt>
                <c:pt idx="12">
                  <c:v>6.4296837565884044E-2</c:v>
                </c:pt>
                <c:pt idx="13">
                  <c:v>6.5891793514228983E-2</c:v>
                </c:pt>
                <c:pt idx="14">
                  <c:v>7.1936056838365903E-2</c:v>
                </c:pt>
                <c:pt idx="15">
                  <c:v>8.2058823529411767E-2</c:v>
                </c:pt>
                <c:pt idx="16">
                  <c:v>9.8742012779552718E-2</c:v>
                </c:pt>
                <c:pt idx="17">
                  <c:v>0.12937615161884705</c:v>
                </c:pt>
                <c:pt idx="18">
                  <c:v>0.16306092315593504</c:v>
                </c:pt>
                <c:pt idx="19">
                  <c:v>0.19773578481443649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73-4EB1-8A5B-BE3C4A31C62E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age_distribution!$B$10:$U$10</c:f>
              <c:numCache>
                <c:formatCode>General</c:formatCode>
                <c:ptCount val="20"/>
                <c:pt idx="0">
                  <c:v>4.6627889294403896E-2</c:v>
                </c:pt>
                <c:pt idx="1">
                  <c:v>4.3517639955145349E-2</c:v>
                </c:pt>
                <c:pt idx="2">
                  <c:v>4.5391509531596048E-2</c:v>
                </c:pt>
                <c:pt idx="3">
                  <c:v>4.182687026255081E-2</c:v>
                </c:pt>
                <c:pt idx="4">
                  <c:v>4.0113692535837867E-2</c:v>
                </c:pt>
                <c:pt idx="5">
                  <c:v>3.6967829907580428E-2</c:v>
                </c:pt>
                <c:pt idx="6">
                  <c:v>3.9144321473668572E-2</c:v>
                </c:pt>
                <c:pt idx="7">
                  <c:v>4.0742512106175646E-2</c:v>
                </c:pt>
                <c:pt idx="8">
                  <c:v>3.6649517313139486E-2</c:v>
                </c:pt>
                <c:pt idx="9">
                  <c:v>3.6978048611591992E-2</c:v>
                </c:pt>
                <c:pt idx="10">
                  <c:v>3.8659298414223928E-2</c:v>
                </c:pt>
                <c:pt idx="11">
                  <c:v>4.1328647305974686E-2</c:v>
                </c:pt>
                <c:pt idx="12">
                  <c:v>4.9622664111164352E-2</c:v>
                </c:pt>
                <c:pt idx="13">
                  <c:v>5.0421906022501656E-2</c:v>
                </c:pt>
                <c:pt idx="14">
                  <c:v>4.6674560884152359E-2</c:v>
                </c:pt>
                <c:pt idx="15">
                  <c:v>5.2058823529411762E-2</c:v>
                </c:pt>
                <c:pt idx="16">
                  <c:v>6.6992811501597443E-2</c:v>
                </c:pt>
                <c:pt idx="17">
                  <c:v>0.10430376414846013</c:v>
                </c:pt>
                <c:pt idx="18">
                  <c:v>0.12698208897733837</c:v>
                </c:pt>
                <c:pt idx="19">
                  <c:v>0.15781409601634322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73-4EB1-8A5B-BE3C4A31C62E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age_distribution!$B$11:$U$11</c:f>
              <c:numCache>
                <c:formatCode>General</c:formatCode>
                <c:ptCount val="20"/>
                <c:pt idx="0">
                  <c:v>3.4500456204379561E-2</c:v>
                </c:pt>
                <c:pt idx="1">
                  <c:v>3.2239282325541276E-2</c:v>
                </c:pt>
                <c:pt idx="2">
                  <c:v>3.2662016434500028E-2</c:v>
                </c:pt>
                <c:pt idx="3">
                  <c:v>2.982533230803032E-2</c:v>
                </c:pt>
                <c:pt idx="4">
                  <c:v>2.7953534354918437E-2</c:v>
                </c:pt>
                <c:pt idx="5">
                  <c:v>2.5882531185293673E-2</c:v>
                </c:pt>
                <c:pt idx="6">
                  <c:v>2.9661541508826661E-2</c:v>
                </c:pt>
                <c:pt idx="7">
                  <c:v>2.4033000538052251E-2</c:v>
                </c:pt>
                <c:pt idx="8">
                  <c:v>2.5724030290768252E-2</c:v>
                </c:pt>
                <c:pt idx="9">
                  <c:v>2.2401495741292153E-2</c:v>
                </c:pt>
                <c:pt idx="10">
                  <c:v>2.4939932724651611E-2</c:v>
                </c:pt>
                <c:pt idx="11">
                  <c:v>2.8221864017123378E-2</c:v>
                </c:pt>
                <c:pt idx="12">
                  <c:v>3.1235026353617634E-2</c:v>
                </c:pt>
                <c:pt idx="13">
                  <c:v>3.2428855062872269E-2</c:v>
                </c:pt>
                <c:pt idx="14">
                  <c:v>3.2826787711334779E-2</c:v>
                </c:pt>
                <c:pt idx="15">
                  <c:v>3.8235294117647062E-2</c:v>
                </c:pt>
                <c:pt idx="16">
                  <c:v>4.1234025559105429E-2</c:v>
                </c:pt>
                <c:pt idx="17">
                  <c:v>6.64648591734667E-2</c:v>
                </c:pt>
                <c:pt idx="18">
                  <c:v>9.3021762855492074E-2</c:v>
                </c:pt>
                <c:pt idx="19">
                  <c:v>0.12087163772557032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873-4EB1-8A5B-BE3C4A31C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2887999"/>
        <c:axId val="382886079"/>
      </c:lineChart>
      <c:catAx>
        <c:axId val="3828879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382886079"/>
        <c:crosses val="autoZero"/>
        <c:auto val="1"/>
        <c:lblAlgn val="ctr"/>
        <c:lblOffset val="100"/>
        <c:noMultiLvlLbl val="0"/>
      </c:catAx>
      <c:valAx>
        <c:axId val="38288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38288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age_distribution!$B$12:$U$12</c:f>
              <c:numCache>
                <c:formatCode>General</c:formatCode>
                <c:ptCount val="20"/>
                <c:pt idx="0">
                  <c:v>2.3608576642335767E-2</c:v>
                </c:pt>
                <c:pt idx="1">
                  <c:v>2.5769861123091521E-2</c:v>
                </c:pt>
                <c:pt idx="2">
                  <c:v>2.452755987001428E-2</c:v>
                </c:pt>
                <c:pt idx="3">
                  <c:v>2.4579808854223881E-2</c:v>
                </c:pt>
                <c:pt idx="4">
                  <c:v>2.2268907563025211E-2</c:v>
                </c:pt>
                <c:pt idx="5">
                  <c:v>1.9468713701328216E-2</c:v>
                </c:pt>
                <c:pt idx="6">
                  <c:v>1.8668449330263192E-2</c:v>
                </c:pt>
                <c:pt idx="7">
                  <c:v>1.8174209362109166E-2</c:v>
                </c:pt>
                <c:pt idx="8">
                  <c:v>1.8440372275854097E-2</c:v>
                </c:pt>
                <c:pt idx="9">
                  <c:v>1.8004293331486738E-2</c:v>
                </c:pt>
                <c:pt idx="10">
                  <c:v>1.6626621816434407E-2</c:v>
                </c:pt>
                <c:pt idx="11">
                  <c:v>2.0109399360515815E-2</c:v>
                </c:pt>
                <c:pt idx="12">
                  <c:v>2.2610206037374223E-2</c:v>
                </c:pt>
                <c:pt idx="13">
                  <c:v>2.4032097948378559E-2</c:v>
                </c:pt>
                <c:pt idx="14">
                  <c:v>2.6708769159923689E-2</c:v>
                </c:pt>
                <c:pt idx="15">
                  <c:v>2.3235294117647059E-2</c:v>
                </c:pt>
                <c:pt idx="16">
                  <c:v>3.3346645367412144E-2</c:v>
                </c:pt>
                <c:pt idx="17">
                  <c:v>4.5406685969992103E-2</c:v>
                </c:pt>
                <c:pt idx="18">
                  <c:v>6.3876227771714714E-2</c:v>
                </c:pt>
                <c:pt idx="19">
                  <c:v>8.3503575076608785E-2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BA-4181-80DB-A4EE3230CFF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age_distribution!$B$13:$U$13</c:f>
              <c:numCache>
                <c:formatCode>General</c:formatCode>
                <c:ptCount val="20"/>
                <c:pt idx="0">
                  <c:v>1.5967153284671534E-2</c:v>
                </c:pt>
                <c:pt idx="1">
                  <c:v>1.6906754075735358E-2</c:v>
                </c:pt>
                <c:pt idx="2">
                  <c:v>1.8856208473909713E-2</c:v>
                </c:pt>
                <c:pt idx="3">
                  <c:v>1.856530814017357E-2</c:v>
                </c:pt>
                <c:pt idx="4">
                  <c:v>1.7399901136925359E-2</c:v>
                </c:pt>
                <c:pt idx="5">
                  <c:v>1.3635674965910812E-2</c:v>
                </c:pt>
                <c:pt idx="6">
                  <c:v>1.3691846789967566E-2</c:v>
                </c:pt>
                <c:pt idx="7">
                  <c:v>1.4826328690141687E-2</c:v>
                </c:pt>
                <c:pt idx="8">
                  <c:v>1.474073645875484E-2</c:v>
                </c:pt>
                <c:pt idx="9">
                  <c:v>1.2118274357731459E-2</c:v>
                </c:pt>
                <c:pt idx="10">
                  <c:v>1.1052378664103796E-2</c:v>
                </c:pt>
                <c:pt idx="11">
                  <c:v>1.4137356974869857E-2</c:v>
                </c:pt>
                <c:pt idx="12">
                  <c:v>1.443459511260182E-2</c:v>
                </c:pt>
                <c:pt idx="13">
                  <c:v>1.5387160820648577E-2</c:v>
                </c:pt>
                <c:pt idx="14">
                  <c:v>1.611736069995395E-2</c:v>
                </c:pt>
                <c:pt idx="15">
                  <c:v>1.7352941176470588E-2</c:v>
                </c:pt>
                <c:pt idx="16">
                  <c:v>2.2863418530351436E-2</c:v>
                </c:pt>
                <c:pt idx="17">
                  <c:v>2.9152408528560148E-2</c:v>
                </c:pt>
                <c:pt idx="18">
                  <c:v>4.2819541631893179E-2</c:v>
                </c:pt>
                <c:pt idx="19">
                  <c:v>5.5243445692883898E-2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BA-4181-80DB-A4EE3230CFFA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age_distribution!$B$14:$U$14</c:f>
              <c:numCache>
                <c:formatCode>General</c:formatCode>
                <c:ptCount val="20"/>
                <c:pt idx="0">
                  <c:v>1.1291058394160584E-2</c:v>
                </c:pt>
                <c:pt idx="1">
                  <c:v>1.3068230828948504E-2</c:v>
                </c:pt>
                <c:pt idx="2">
                  <c:v>1.5130503177198683E-2</c:v>
                </c:pt>
                <c:pt idx="3">
                  <c:v>1.5626716467098758E-2</c:v>
                </c:pt>
                <c:pt idx="4">
                  <c:v>1.3198220464656451E-2</c:v>
                </c:pt>
                <c:pt idx="5">
                  <c:v>1.29286399676784E-2</c:v>
                </c:pt>
                <c:pt idx="6">
                  <c:v>1.1092129045037015E-2</c:v>
                </c:pt>
                <c:pt idx="7">
                  <c:v>1.0193100974472409E-2</c:v>
                </c:pt>
                <c:pt idx="8">
                  <c:v>1.1330134689866466E-2</c:v>
                </c:pt>
                <c:pt idx="9">
                  <c:v>9.9369849733397971E-3</c:v>
                </c:pt>
                <c:pt idx="10">
                  <c:v>8.6737145603075442E-3</c:v>
                </c:pt>
                <c:pt idx="11">
                  <c:v>1.0358586792801839E-2</c:v>
                </c:pt>
                <c:pt idx="12">
                  <c:v>1.1619549592716818E-2</c:v>
                </c:pt>
                <c:pt idx="13">
                  <c:v>1.1705823957643944E-2</c:v>
                </c:pt>
                <c:pt idx="14">
                  <c:v>1.2828103414249063E-2</c:v>
                </c:pt>
                <c:pt idx="15">
                  <c:v>1.375E-2</c:v>
                </c:pt>
                <c:pt idx="16">
                  <c:v>1.7571884984025558E-2</c:v>
                </c:pt>
                <c:pt idx="17">
                  <c:v>2.1584627533561464E-2</c:v>
                </c:pt>
                <c:pt idx="18">
                  <c:v>2.8888746228413687E-2</c:v>
                </c:pt>
                <c:pt idx="19">
                  <c:v>4.1709227102485529E-2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BA-4181-80DB-A4EE3230CFFA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age_distribution!$B$15:$U$15</c:f>
              <c:numCache>
                <c:formatCode>General</c:formatCode>
                <c:ptCount val="20"/>
                <c:pt idx="0">
                  <c:v>1.1081964720194647E-2</c:v>
                </c:pt>
                <c:pt idx="1">
                  <c:v>1.1256792892262573E-2</c:v>
                </c:pt>
                <c:pt idx="2">
                  <c:v>1.1673876596361227E-2</c:v>
                </c:pt>
                <c:pt idx="3">
                  <c:v>9.9967043831703829E-3</c:v>
                </c:pt>
                <c:pt idx="4">
                  <c:v>1.2654473554127533E-2</c:v>
                </c:pt>
                <c:pt idx="5">
                  <c:v>9.6207262259481851E-3</c:v>
                </c:pt>
                <c:pt idx="6">
                  <c:v>9.5322983980786844E-3</c:v>
                </c:pt>
                <c:pt idx="7">
                  <c:v>8.758294972200634E-3</c:v>
                </c:pt>
                <c:pt idx="8">
                  <c:v>7.1680443956298051E-3</c:v>
                </c:pt>
                <c:pt idx="9">
                  <c:v>8.5866629734782911E-3</c:v>
                </c:pt>
                <c:pt idx="10">
                  <c:v>6.3911580970687169E-3</c:v>
                </c:pt>
                <c:pt idx="11">
                  <c:v>7.5575403641360353E-3</c:v>
                </c:pt>
                <c:pt idx="12">
                  <c:v>9.1938188787733591E-3</c:v>
                </c:pt>
                <c:pt idx="13">
                  <c:v>9.5549305095962937E-3</c:v>
                </c:pt>
                <c:pt idx="14">
                  <c:v>9.9006644299717127E-3</c:v>
                </c:pt>
                <c:pt idx="15">
                  <c:v>1.036764705882353E-2</c:v>
                </c:pt>
                <c:pt idx="16">
                  <c:v>1.3777955271565496E-2</c:v>
                </c:pt>
                <c:pt idx="17">
                  <c:v>1.8491708344301132E-2</c:v>
                </c:pt>
                <c:pt idx="18">
                  <c:v>2.4523335687231175E-2</c:v>
                </c:pt>
                <c:pt idx="19">
                  <c:v>2.7919645897173988E-2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BA-4181-80DB-A4EE3230CFFA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age_distribution!$B$16:$U$16</c:f>
              <c:numCache>
                <c:formatCode>General</c:formatCode>
                <c:ptCount val="20"/>
                <c:pt idx="0">
                  <c:v>6.8430656934306573E-3</c:v>
                </c:pt>
                <c:pt idx="1">
                  <c:v>7.0301043733287331E-3</c:v>
                </c:pt>
                <c:pt idx="2">
                  <c:v>8.6519156334733914E-3</c:v>
                </c:pt>
                <c:pt idx="3">
                  <c:v>9.8593870152696907E-3</c:v>
                </c:pt>
                <c:pt idx="4">
                  <c:v>8.5022244191794369E-3</c:v>
                </c:pt>
                <c:pt idx="5">
                  <c:v>9.0146962274632592E-3</c:v>
                </c:pt>
                <c:pt idx="6">
                  <c:v>7.8734308846468096E-3</c:v>
                </c:pt>
                <c:pt idx="7">
                  <c:v>6.9647874693609139E-3</c:v>
                </c:pt>
                <c:pt idx="8">
                  <c:v>6.4454592751026071E-3</c:v>
                </c:pt>
                <c:pt idx="9">
                  <c:v>6.4053735890866282E-3</c:v>
                </c:pt>
                <c:pt idx="10">
                  <c:v>4.8774627582892837E-3</c:v>
                </c:pt>
                <c:pt idx="11">
                  <c:v>6.6855164759664935E-3</c:v>
                </c:pt>
                <c:pt idx="12">
                  <c:v>7.2771921418303782E-3</c:v>
                </c:pt>
                <c:pt idx="13">
                  <c:v>6.9490403706154863E-3</c:v>
                </c:pt>
                <c:pt idx="14">
                  <c:v>6.44694427998158E-3</c:v>
                </c:pt>
                <c:pt idx="15">
                  <c:v>8.1617647058823527E-3</c:v>
                </c:pt>
                <c:pt idx="16">
                  <c:v>8.0870607028753986E-3</c:v>
                </c:pt>
                <c:pt idx="17">
                  <c:v>1.1779415635693603E-2</c:v>
                </c:pt>
                <c:pt idx="18">
                  <c:v>1.5985106246388908E-2</c:v>
                </c:pt>
                <c:pt idx="19">
                  <c:v>1.9237316990125979E-2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5BA-4181-80DB-A4EE3230C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5123039"/>
        <c:axId val="325120159"/>
      </c:lineChart>
      <c:catAx>
        <c:axId val="3251230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325120159"/>
        <c:crosses val="autoZero"/>
        <c:auto val="1"/>
        <c:lblAlgn val="ctr"/>
        <c:lblOffset val="100"/>
        <c:noMultiLvlLbl val="0"/>
      </c:catAx>
      <c:valAx>
        <c:axId val="32512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325123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age_distribution!$B$2:$B$17</c:f>
              <c:numCache>
                <c:formatCode>General</c:formatCode>
                <c:ptCount val="16"/>
                <c:pt idx="0">
                  <c:v>3.4500456204379561E-2</c:v>
                </c:pt>
                <c:pt idx="1">
                  <c:v>5.4174270072992699E-2</c:v>
                </c:pt>
                <c:pt idx="2">
                  <c:v>7.2973692214111915E-2</c:v>
                </c:pt>
                <c:pt idx="3">
                  <c:v>0.15164993917274938</c:v>
                </c:pt>
                <c:pt idx="4">
                  <c:v>0.17020225060827252</c:v>
                </c:pt>
                <c:pt idx="5">
                  <c:v>0.14963503649635038</c:v>
                </c:pt>
                <c:pt idx="6">
                  <c:v>0.1078353102189781</c:v>
                </c:pt>
                <c:pt idx="7">
                  <c:v>6.9438108272506086E-2</c:v>
                </c:pt>
                <c:pt idx="8">
                  <c:v>4.6627889294403896E-2</c:v>
                </c:pt>
                <c:pt idx="9">
                  <c:v>3.4500456204379561E-2</c:v>
                </c:pt>
                <c:pt idx="10">
                  <c:v>2.3608576642335767E-2</c:v>
                </c:pt>
                <c:pt idx="11">
                  <c:v>1.5967153284671534E-2</c:v>
                </c:pt>
                <c:pt idx="12">
                  <c:v>1.1291058394160584E-2</c:v>
                </c:pt>
                <c:pt idx="13">
                  <c:v>1.1081964720194647E-2</c:v>
                </c:pt>
                <c:pt idx="14">
                  <c:v>6.8430656934306573E-3</c:v>
                </c:pt>
                <c:pt idx="15">
                  <c:v>3.9670772506082724E-2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89-4AC9-A205-FB4463657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799103"/>
        <c:axId val="144800063"/>
      </c:lineChart>
      <c:catAx>
        <c:axId val="1447991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44800063"/>
        <c:crosses val="autoZero"/>
        <c:auto val="1"/>
        <c:lblAlgn val="ctr"/>
        <c:lblOffset val="100"/>
        <c:noMultiLvlLbl val="0"/>
      </c:catAx>
      <c:valAx>
        <c:axId val="14480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44799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age_distribution!$U$2:$U$17</c:f>
              <c:numCache>
                <c:formatCode>General</c:formatCode>
                <c:ptCount val="16"/>
                <c:pt idx="0">
                  <c:v>3.975144705481784E-2</c:v>
                </c:pt>
                <c:pt idx="1">
                  <c:v>1.2002042900919305E-2</c:v>
                </c:pt>
                <c:pt idx="2">
                  <c:v>4.8518896833503579E-3</c:v>
                </c:pt>
                <c:pt idx="3">
                  <c:v>7.4906367041198503E-3</c:v>
                </c:pt>
                <c:pt idx="4">
                  <c:v>9.7037793667007158E-3</c:v>
                </c:pt>
                <c:pt idx="5">
                  <c:v>4.0177051413006468E-2</c:v>
                </c:pt>
                <c:pt idx="6">
                  <c:v>0.13747020769492679</c:v>
                </c:pt>
                <c:pt idx="7">
                  <c:v>0.19773578481443649</c:v>
                </c:pt>
                <c:pt idx="8">
                  <c:v>0.15781409601634322</c:v>
                </c:pt>
                <c:pt idx="9">
                  <c:v>0.12087163772557032</c:v>
                </c:pt>
                <c:pt idx="10">
                  <c:v>8.3503575076608785E-2</c:v>
                </c:pt>
                <c:pt idx="11">
                  <c:v>5.5243445692883898E-2</c:v>
                </c:pt>
                <c:pt idx="12">
                  <c:v>4.1709227102485529E-2</c:v>
                </c:pt>
                <c:pt idx="13">
                  <c:v>2.7919645897173988E-2</c:v>
                </c:pt>
                <c:pt idx="14">
                  <c:v>1.9237316990125979E-2</c:v>
                </c:pt>
                <c:pt idx="15">
                  <c:v>4.4518215866530472E-2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C1-4F56-AC43-38F288AE7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5299487"/>
        <c:axId val="325292287"/>
      </c:lineChart>
      <c:catAx>
        <c:axId val="3252994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325292287"/>
        <c:crosses val="autoZero"/>
        <c:auto val="1"/>
        <c:lblAlgn val="ctr"/>
        <c:lblOffset val="100"/>
        <c:noMultiLvlLbl val="0"/>
      </c:catAx>
      <c:valAx>
        <c:axId val="32529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32529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age_distribution!$A$2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age_distribution!$B$1:$U$1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age_distribution!$B$2:$U$2</c:f>
              <c:numCache>
                <c:formatCode>General</c:formatCode>
                <c:ptCount val="20"/>
                <c:pt idx="0">
                  <c:v>3.4500456204379561E-2</c:v>
                </c:pt>
                <c:pt idx="1">
                  <c:v>3.4050720262227205E-2</c:v>
                </c:pt>
                <c:pt idx="2">
                  <c:v>3.3800426386272849E-2</c:v>
                </c:pt>
                <c:pt idx="3">
                  <c:v>3.3038558716906516E-2</c:v>
                </c:pt>
                <c:pt idx="4">
                  <c:v>3.5664854176964904E-2</c:v>
                </c:pt>
                <c:pt idx="5">
                  <c:v>3.3331649916670876E-2</c:v>
                </c:pt>
                <c:pt idx="6">
                  <c:v>3.0825224689890813E-2</c:v>
                </c:pt>
                <c:pt idx="7">
                  <c:v>3.1984217133975014E-2</c:v>
                </c:pt>
                <c:pt idx="8">
                  <c:v>3.6187062836002079E-2</c:v>
                </c:pt>
                <c:pt idx="9">
                  <c:v>3.6424070355238557E-2</c:v>
                </c:pt>
                <c:pt idx="10">
                  <c:v>3.7890437289764538E-2</c:v>
                </c:pt>
                <c:pt idx="11">
                  <c:v>4.0113098855798959E-2</c:v>
                </c:pt>
                <c:pt idx="12">
                  <c:v>4.0219214183037852E-2</c:v>
                </c:pt>
                <c:pt idx="13">
                  <c:v>3.9212442091330242E-2</c:v>
                </c:pt>
                <c:pt idx="14">
                  <c:v>4.1970922965594369E-2</c:v>
                </c:pt>
                <c:pt idx="15">
                  <c:v>5.1691176470588233E-2</c:v>
                </c:pt>
                <c:pt idx="16">
                  <c:v>5.231629392971246E-2</c:v>
                </c:pt>
                <c:pt idx="17">
                  <c:v>3.9615688339036587E-2</c:v>
                </c:pt>
                <c:pt idx="18">
                  <c:v>3.6464017461642163E-2</c:v>
                </c:pt>
                <c:pt idx="19">
                  <c:v>3.975144705481784E-2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1A-4281-9232-E7B4780B96B7}"/>
            </c:ext>
          </c:extLst>
        </c:ser>
        <c:ser>
          <c:idx val="1"/>
          <c:order val="1"/>
          <c:tx>
            <c:strRef>
              <c:f>age_distribution!$A$3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age_distribution!$B$1:$U$1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age_distribution!$B$3:$U$3</c:f>
              <c:numCache>
                <c:formatCode>General</c:formatCode>
                <c:ptCount val="20"/>
                <c:pt idx="0">
                  <c:v>5.4174270072992699E-2</c:v>
                </c:pt>
                <c:pt idx="1">
                  <c:v>5.4235314413870438E-2</c:v>
                </c:pt>
                <c:pt idx="2">
                  <c:v>5.5057644940285221E-2</c:v>
                </c:pt>
                <c:pt idx="3">
                  <c:v>5.5860705262001535E-2</c:v>
                </c:pt>
                <c:pt idx="4">
                  <c:v>5.9243697478991594E-2</c:v>
                </c:pt>
                <c:pt idx="5">
                  <c:v>5.8380889854047775E-2</c:v>
                </c:pt>
                <c:pt idx="6">
                  <c:v>5.7986085320260464E-2</c:v>
                </c:pt>
                <c:pt idx="7">
                  <c:v>5.0816045913792074E-2</c:v>
                </c:pt>
                <c:pt idx="8">
                  <c:v>5.7459968784322794E-2</c:v>
                </c:pt>
                <c:pt idx="9">
                  <c:v>5.7544491378713383E-2</c:v>
                </c:pt>
                <c:pt idx="10">
                  <c:v>6.2013455069678036E-2</c:v>
                </c:pt>
                <c:pt idx="11">
                  <c:v>6.5348941680099359E-2</c:v>
                </c:pt>
                <c:pt idx="12">
                  <c:v>5.941542884523239E-2</c:v>
                </c:pt>
                <c:pt idx="13">
                  <c:v>5.8653209794837853E-2</c:v>
                </c:pt>
                <c:pt idx="14">
                  <c:v>5.5785803565554896E-2</c:v>
                </c:pt>
                <c:pt idx="15">
                  <c:v>4.1397058823529412E-2</c:v>
                </c:pt>
                <c:pt idx="16">
                  <c:v>2.0467252396166133E-2</c:v>
                </c:pt>
                <c:pt idx="17">
                  <c:v>2.0400105290866017E-2</c:v>
                </c:pt>
                <c:pt idx="18">
                  <c:v>1.5856711818707066E-2</c:v>
                </c:pt>
                <c:pt idx="19">
                  <c:v>1.2002042900919305E-2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1A-4281-9232-E7B4780B96B7}"/>
            </c:ext>
          </c:extLst>
        </c:ser>
        <c:ser>
          <c:idx val="2"/>
          <c:order val="2"/>
          <c:tx>
            <c:strRef>
              <c:f>age_distribution!$A$4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age_distribution!$B$1:$U$1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age_distribution!$B$4:$U$4</c:f>
              <c:numCache>
                <c:formatCode>General</c:formatCode>
                <c:ptCount val="20"/>
                <c:pt idx="0">
                  <c:v>7.2973692214111915E-2</c:v>
                </c:pt>
                <c:pt idx="1">
                  <c:v>7.2284999568705252E-2</c:v>
                </c:pt>
                <c:pt idx="2">
                  <c:v>7.4534804296980103E-2</c:v>
                </c:pt>
                <c:pt idx="3">
                  <c:v>7.6458310447105354E-2</c:v>
                </c:pt>
                <c:pt idx="4">
                  <c:v>7.7978250123578841E-2</c:v>
                </c:pt>
                <c:pt idx="5">
                  <c:v>7.7925357305186613E-2</c:v>
                </c:pt>
                <c:pt idx="6">
                  <c:v>8.5072668300774965E-2</c:v>
                </c:pt>
                <c:pt idx="7">
                  <c:v>7.8884438333233692E-2</c:v>
                </c:pt>
                <c:pt idx="8">
                  <c:v>7.7027573848199318E-2</c:v>
                </c:pt>
                <c:pt idx="9">
                  <c:v>7.9911363478983449E-2</c:v>
                </c:pt>
                <c:pt idx="10">
                  <c:v>9.0028832292167224E-2</c:v>
                </c:pt>
                <c:pt idx="11">
                  <c:v>8.4824141849219145E-2</c:v>
                </c:pt>
                <c:pt idx="12">
                  <c:v>8.0408481073310972E-2</c:v>
                </c:pt>
                <c:pt idx="13">
                  <c:v>7.5446724023825282E-2</c:v>
                </c:pt>
                <c:pt idx="14">
                  <c:v>7.2528123149792775E-2</c:v>
                </c:pt>
                <c:pt idx="15">
                  <c:v>7.3161764705882357E-2</c:v>
                </c:pt>
                <c:pt idx="16">
                  <c:v>2.0966453674121407E-2</c:v>
                </c:pt>
                <c:pt idx="17">
                  <c:v>6.6464859173466706E-3</c:v>
                </c:pt>
                <c:pt idx="18">
                  <c:v>5.970340887205495E-3</c:v>
                </c:pt>
                <c:pt idx="19">
                  <c:v>4.8518896833503579E-3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1A-4281-9232-E7B4780B96B7}"/>
            </c:ext>
          </c:extLst>
        </c:ser>
        <c:ser>
          <c:idx val="3"/>
          <c:order val="3"/>
          <c:tx>
            <c:strRef>
              <c:f>age_distribution!$A$5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age_distribution!$B$1:$U$1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age_distribution!$B$5:$U$5</c:f>
              <c:numCache>
                <c:formatCode>General</c:formatCode>
                <c:ptCount val="20"/>
                <c:pt idx="0">
                  <c:v>0.15164993917274938</c:v>
                </c:pt>
                <c:pt idx="1">
                  <c:v>0.15694815837143103</c:v>
                </c:pt>
                <c:pt idx="2">
                  <c:v>0.1533748680479374</c:v>
                </c:pt>
                <c:pt idx="3">
                  <c:v>0.15577282214654509</c:v>
                </c:pt>
                <c:pt idx="4">
                  <c:v>0.16356895699456253</c:v>
                </c:pt>
                <c:pt idx="5">
                  <c:v>0.16925912832685219</c:v>
                </c:pt>
                <c:pt idx="6">
                  <c:v>0.1648221050285969</c:v>
                </c:pt>
                <c:pt idx="7">
                  <c:v>0.17157888443833325</c:v>
                </c:pt>
                <c:pt idx="8">
                  <c:v>0.16740852072374127</c:v>
                </c:pt>
                <c:pt idx="9">
                  <c:v>0.16318122013710962</c:v>
                </c:pt>
                <c:pt idx="10">
                  <c:v>0.1679961556943777</c:v>
                </c:pt>
                <c:pt idx="11">
                  <c:v>0.16742858652855216</c:v>
                </c:pt>
                <c:pt idx="12">
                  <c:v>0.15818160038332535</c:v>
                </c:pt>
                <c:pt idx="13">
                  <c:v>0.16284745201853076</c:v>
                </c:pt>
                <c:pt idx="14">
                  <c:v>0.14574699032958358</c:v>
                </c:pt>
                <c:pt idx="15">
                  <c:v>0.14124999999999999</c:v>
                </c:pt>
                <c:pt idx="16">
                  <c:v>0.11611421725239617</c:v>
                </c:pt>
                <c:pt idx="17">
                  <c:v>4.1392471703079761E-2</c:v>
                </c:pt>
                <c:pt idx="18">
                  <c:v>9.3085960069332983E-3</c:v>
                </c:pt>
                <c:pt idx="19">
                  <c:v>7.4906367041198503E-3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1A-4281-9232-E7B4780B96B7}"/>
            </c:ext>
          </c:extLst>
        </c:ser>
        <c:ser>
          <c:idx val="4"/>
          <c:order val="4"/>
          <c:tx>
            <c:strRef>
              <c:f>age_distribution!$A$6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age_distribution!$B$1:$U$1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age_distribution!$B$6:$U$6</c:f>
              <c:numCache>
                <c:formatCode>General</c:formatCode>
                <c:ptCount val="20"/>
                <c:pt idx="0">
                  <c:v>0.17020225060827252</c:v>
                </c:pt>
                <c:pt idx="1">
                  <c:v>0.17527818511170534</c:v>
                </c:pt>
                <c:pt idx="2">
                  <c:v>0.1696230828141494</c:v>
                </c:pt>
                <c:pt idx="3">
                  <c:v>0.17046578051191916</c:v>
                </c:pt>
                <c:pt idx="4">
                  <c:v>0.17246663371230844</c:v>
                </c:pt>
                <c:pt idx="5">
                  <c:v>0.179738397050654</c:v>
                </c:pt>
                <c:pt idx="6">
                  <c:v>0.17935576518358959</c:v>
                </c:pt>
                <c:pt idx="7">
                  <c:v>0.1877503437556047</c:v>
                </c:pt>
                <c:pt idx="8">
                  <c:v>0.18460604659228858</c:v>
                </c:pt>
                <c:pt idx="9">
                  <c:v>0.18090852434041965</c:v>
                </c:pt>
                <c:pt idx="10">
                  <c:v>0.17722248918789044</c:v>
                </c:pt>
                <c:pt idx="11">
                  <c:v>0.17279285468911026</c:v>
                </c:pt>
                <c:pt idx="12">
                  <c:v>0.17306540488739819</c:v>
                </c:pt>
                <c:pt idx="13">
                  <c:v>0.16685969556585042</c:v>
                </c:pt>
                <c:pt idx="14">
                  <c:v>0.16383790540096047</c:v>
                </c:pt>
                <c:pt idx="15">
                  <c:v>0.15794117647058822</c:v>
                </c:pt>
                <c:pt idx="16">
                  <c:v>0.15515175718849841</c:v>
                </c:pt>
                <c:pt idx="17">
                  <c:v>0.13523295604106345</c:v>
                </c:pt>
                <c:pt idx="18">
                  <c:v>4.1792386210438466E-2</c:v>
                </c:pt>
                <c:pt idx="19">
                  <c:v>9.7037793667007158E-3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1A-4281-9232-E7B4780B96B7}"/>
            </c:ext>
          </c:extLst>
        </c:ser>
        <c:ser>
          <c:idx val="5"/>
          <c:order val="5"/>
          <c:tx>
            <c:strRef>
              <c:f>age_distribution!$A$7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age_distribution!$B$1:$U$1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age_distribution!$B$7:$U$7</c:f>
              <c:numCache>
                <c:formatCode>General</c:formatCode>
                <c:ptCount val="20"/>
                <c:pt idx="0">
                  <c:v>0.14963503649635038</c:v>
                </c:pt>
                <c:pt idx="1">
                  <c:v>0.14586388337790046</c:v>
                </c:pt>
                <c:pt idx="2">
                  <c:v>0.14679278869041459</c:v>
                </c:pt>
                <c:pt idx="3">
                  <c:v>0.14558387344831375</c:v>
                </c:pt>
                <c:pt idx="4">
                  <c:v>0.14085516559565003</c:v>
                </c:pt>
                <c:pt idx="5">
                  <c:v>0.1542598858643503</c:v>
                </c:pt>
                <c:pt idx="6">
                  <c:v>0.15046175938993289</c:v>
                </c:pt>
                <c:pt idx="7">
                  <c:v>0.15364380940993602</c:v>
                </c:pt>
                <c:pt idx="8">
                  <c:v>0.15128042083357421</c:v>
                </c:pt>
                <c:pt idx="9">
                  <c:v>0.15788380306072985</c:v>
                </c:pt>
                <c:pt idx="10">
                  <c:v>0.15711196540124939</c:v>
                </c:pt>
                <c:pt idx="11">
                  <c:v>0.14282694289564782</c:v>
                </c:pt>
                <c:pt idx="12">
                  <c:v>0.14204000958313368</c:v>
                </c:pt>
                <c:pt idx="13">
                  <c:v>0.14423395102581071</c:v>
                </c:pt>
                <c:pt idx="14">
                  <c:v>0.14989145450957173</c:v>
                </c:pt>
                <c:pt idx="15">
                  <c:v>0.14367647058823529</c:v>
                </c:pt>
                <c:pt idx="16">
                  <c:v>0.15664936102236421</c:v>
                </c:pt>
                <c:pt idx="17">
                  <c:v>0.15300078968149514</c:v>
                </c:pt>
                <c:pt idx="18">
                  <c:v>0.13725364319188546</c:v>
                </c:pt>
                <c:pt idx="19">
                  <c:v>4.0177051413006468E-2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E1A-4281-9232-E7B4780B96B7}"/>
            </c:ext>
          </c:extLst>
        </c:ser>
        <c:ser>
          <c:idx val="6"/>
          <c:order val="6"/>
          <c:tx>
            <c:strRef>
              <c:f>age_distribution!$A$8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age_distribution!$B$1:$U$1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age_distribution!$B$8:$U$8</c:f>
              <c:numCache>
                <c:formatCode>General</c:formatCode>
                <c:ptCount val="20"/>
                <c:pt idx="0">
                  <c:v>0.1078353102189781</c:v>
                </c:pt>
                <c:pt idx="1">
                  <c:v>0.10471836453032002</c:v>
                </c:pt>
                <c:pt idx="2">
                  <c:v>0.10655517148593546</c:v>
                </c:pt>
                <c:pt idx="3">
                  <c:v>0.10471822476106778</c:v>
                </c:pt>
                <c:pt idx="4">
                  <c:v>0.10659911023232822</c:v>
                </c:pt>
                <c:pt idx="5">
                  <c:v>0.10395939599010151</c:v>
                </c:pt>
                <c:pt idx="6">
                  <c:v>0.10230508306717176</c:v>
                </c:pt>
                <c:pt idx="7">
                  <c:v>0.1050995396664076</c:v>
                </c:pt>
                <c:pt idx="8">
                  <c:v>0.10954390427192323</c:v>
                </c:pt>
                <c:pt idx="9">
                  <c:v>0.11079565127068762</c:v>
                </c:pt>
                <c:pt idx="10">
                  <c:v>0.10867371456030754</c:v>
                </c:pt>
                <c:pt idx="11">
                  <c:v>0.10717966334592924</c:v>
                </c:pt>
                <c:pt idx="12">
                  <c:v>0.10361763296597988</c:v>
                </c:pt>
                <c:pt idx="13">
                  <c:v>0.10626240900066182</c:v>
                </c:pt>
                <c:pt idx="14">
                  <c:v>0.1171633445168081</c:v>
                </c:pt>
                <c:pt idx="15">
                  <c:v>0.11227941176470588</c:v>
                </c:pt>
                <c:pt idx="16">
                  <c:v>0.14037539936102236</c:v>
                </c:pt>
                <c:pt idx="17">
                  <c:v>0.13970781784680178</c:v>
                </c:pt>
                <c:pt idx="18">
                  <c:v>0.15651280734416126</c:v>
                </c:pt>
                <c:pt idx="19">
                  <c:v>0.13747020769492679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E1A-4281-9232-E7B4780B96B7}"/>
            </c:ext>
          </c:extLst>
        </c:ser>
        <c:ser>
          <c:idx val="7"/>
          <c:order val="7"/>
          <c:tx>
            <c:strRef>
              <c:f>age_distribution!$A$9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age_distribution!$B$1:$U$1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age_distribution!$B$9:$U$9</c:f>
              <c:numCache>
                <c:formatCode>General</c:formatCode>
                <c:ptCount val="20"/>
                <c:pt idx="0">
                  <c:v>6.9438108272506086E-2</c:v>
                </c:pt>
                <c:pt idx="1">
                  <c:v>6.2322090916932631E-2</c:v>
                </c:pt>
                <c:pt idx="2">
                  <c:v>6.1432740670212989E-2</c:v>
                </c:pt>
                <c:pt idx="3">
                  <c:v>6.4566626386905412E-2</c:v>
                </c:pt>
                <c:pt idx="4">
                  <c:v>6.0108749382105781E-2</c:v>
                </c:pt>
                <c:pt idx="5">
                  <c:v>5.8885914852785215E-2</c:v>
                </c:pt>
                <c:pt idx="6">
                  <c:v>5.848126965262819E-2</c:v>
                </c:pt>
                <c:pt idx="7">
                  <c:v>5.8946613259998802E-2</c:v>
                </c:pt>
                <c:pt idx="8">
                  <c:v>6.1419735244811841E-2</c:v>
                </c:pt>
                <c:pt idx="9">
                  <c:v>6.2599542967938515E-2</c:v>
                </c:pt>
                <c:pt idx="10">
                  <c:v>6.1292647765497359E-2</c:v>
                </c:pt>
                <c:pt idx="11">
                  <c:v>6.1623021430647677E-2</c:v>
                </c:pt>
                <c:pt idx="12">
                  <c:v>6.4296837565884044E-2</c:v>
                </c:pt>
                <c:pt idx="13">
                  <c:v>6.5891793514228983E-2</c:v>
                </c:pt>
                <c:pt idx="14">
                  <c:v>7.1936056838365903E-2</c:v>
                </c:pt>
                <c:pt idx="15">
                  <c:v>8.2058823529411767E-2</c:v>
                </c:pt>
                <c:pt idx="16">
                  <c:v>9.8742012779552718E-2</c:v>
                </c:pt>
                <c:pt idx="17">
                  <c:v>0.12937615161884705</c:v>
                </c:pt>
                <c:pt idx="18">
                  <c:v>0.16306092315593504</c:v>
                </c:pt>
                <c:pt idx="19">
                  <c:v>0.19773578481443649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E1A-4281-9232-E7B4780B96B7}"/>
            </c:ext>
          </c:extLst>
        </c:ser>
        <c:ser>
          <c:idx val="8"/>
          <c:order val="8"/>
          <c:tx>
            <c:strRef>
              <c:f>age_distribution!$A$10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age_distribution!$B$1:$U$1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age_distribution!$B$10:$U$10</c:f>
              <c:numCache>
                <c:formatCode>General</c:formatCode>
                <c:ptCount val="20"/>
                <c:pt idx="0">
                  <c:v>4.6627889294403896E-2</c:v>
                </c:pt>
                <c:pt idx="1">
                  <c:v>4.3517639955145349E-2</c:v>
                </c:pt>
                <c:pt idx="2">
                  <c:v>4.5391509531596048E-2</c:v>
                </c:pt>
                <c:pt idx="3">
                  <c:v>4.182687026255081E-2</c:v>
                </c:pt>
                <c:pt idx="4">
                  <c:v>4.0113692535837867E-2</c:v>
                </c:pt>
                <c:pt idx="5">
                  <c:v>3.6967829907580428E-2</c:v>
                </c:pt>
                <c:pt idx="6">
                  <c:v>3.9144321473668572E-2</c:v>
                </c:pt>
                <c:pt idx="7">
                  <c:v>4.0742512106175646E-2</c:v>
                </c:pt>
                <c:pt idx="8">
                  <c:v>3.6649517313139486E-2</c:v>
                </c:pt>
                <c:pt idx="9">
                  <c:v>3.6978048611591992E-2</c:v>
                </c:pt>
                <c:pt idx="10">
                  <c:v>3.8659298414223928E-2</c:v>
                </c:pt>
                <c:pt idx="11">
                  <c:v>4.1328647305974686E-2</c:v>
                </c:pt>
                <c:pt idx="12">
                  <c:v>4.9622664111164352E-2</c:v>
                </c:pt>
                <c:pt idx="13">
                  <c:v>5.0421906022501656E-2</c:v>
                </c:pt>
                <c:pt idx="14">
                  <c:v>4.6674560884152359E-2</c:v>
                </c:pt>
                <c:pt idx="15">
                  <c:v>5.2058823529411762E-2</c:v>
                </c:pt>
                <c:pt idx="16">
                  <c:v>6.6992811501597443E-2</c:v>
                </c:pt>
                <c:pt idx="17">
                  <c:v>0.10430376414846013</c:v>
                </c:pt>
                <c:pt idx="18">
                  <c:v>0.12698208897733837</c:v>
                </c:pt>
                <c:pt idx="19">
                  <c:v>0.15781409601634322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E1A-4281-9232-E7B4780B96B7}"/>
            </c:ext>
          </c:extLst>
        </c:ser>
        <c:ser>
          <c:idx val="9"/>
          <c:order val="9"/>
          <c:tx>
            <c:strRef>
              <c:f>age_distribution!$A$11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age_distribution!$B$1:$U$1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age_distribution!$B$11:$U$11</c:f>
              <c:numCache>
                <c:formatCode>General</c:formatCode>
                <c:ptCount val="20"/>
                <c:pt idx="0">
                  <c:v>3.4500456204379561E-2</c:v>
                </c:pt>
                <c:pt idx="1">
                  <c:v>3.2239282325541276E-2</c:v>
                </c:pt>
                <c:pt idx="2">
                  <c:v>3.2662016434500028E-2</c:v>
                </c:pt>
                <c:pt idx="3">
                  <c:v>2.982533230803032E-2</c:v>
                </c:pt>
                <c:pt idx="4">
                  <c:v>2.7953534354918437E-2</c:v>
                </c:pt>
                <c:pt idx="5">
                  <c:v>2.5882531185293673E-2</c:v>
                </c:pt>
                <c:pt idx="6">
                  <c:v>2.9661541508826661E-2</c:v>
                </c:pt>
                <c:pt idx="7">
                  <c:v>2.4033000538052251E-2</c:v>
                </c:pt>
                <c:pt idx="8">
                  <c:v>2.5724030290768252E-2</c:v>
                </c:pt>
                <c:pt idx="9">
                  <c:v>2.2401495741292153E-2</c:v>
                </c:pt>
                <c:pt idx="10">
                  <c:v>2.4939932724651611E-2</c:v>
                </c:pt>
                <c:pt idx="11">
                  <c:v>2.8221864017123378E-2</c:v>
                </c:pt>
                <c:pt idx="12">
                  <c:v>3.1235026353617634E-2</c:v>
                </c:pt>
                <c:pt idx="13">
                  <c:v>3.2428855062872269E-2</c:v>
                </c:pt>
                <c:pt idx="14">
                  <c:v>3.2826787711334779E-2</c:v>
                </c:pt>
                <c:pt idx="15">
                  <c:v>3.8235294117647062E-2</c:v>
                </c:pt>
                <c:pt idx="16">
                  <c:v>4.1234025559105429E-2</c:v>
                </c:pt>
                <c:pt idx="17">
                  <c:v>6.64648591734667E-2</c:v>
                </c:pt>
                <c:pt idx="18">
                  <c:v>9.3021762855492074E-2</c:v>
                </c:pt>
                <c:pt idx="19">
                  <c:v>0.12087163772557032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E1A-4281-9232-E7B4780B96B7}"/>
            </c:ext>
          </c:extLst>
        </c:ser>
        <c:ser>
          <c:idx val="10"/>
          <c:order val="10"/>
          <c:tx>
            <c:strRef>
              <c:f>age_distribution!$A$12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age_distribution!$B$1:$U$1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age_distribution!$B$12:$U$12</c:f>
              <c:numCache>
                <c:formatCode>General</c:formatCode>
                <c:ptCount val="20"/>
                <c:pt idx="0">
                  <c:v>2.3608576642335767E-2</c:v>
                </c:pt>
                <c:pt idx="1">
                  <c:v>2.5769861123091521E-2</c:v>
                </c:pt>
                <c:pt idx="2">
                  <c:v>2.452755987001428E-2</c:v>
                </c:pt>
                <c:pt idx="3">
                  <c:v>2.4579808854223881E-2</c:v>
                </c:pt>
                <c:pt idx="4">
                  <c:v>2.2268907563025211E-2</c:v>
                </c:pt>
                <c:pt idx="5">
                  <c:v>1.9468713701328216E-2</c:v>
                </c:pt>
                <c:pt idx="6">
                  <c:v>1.8668449330263192E-2</c:v>
                </c:pt>
                <c:pt idx="7">
                  <c:v>1.8174209362109166E-2</c:v>
                </c:pt>
                <c:pt idx="8">
                  <c:v>1.8440372275854097E-2</c:v>
                </c:pt>
                <c:pt idx="9">
                  <c:v>1.8004293331486738E-2</c:v>
                </c:pt>
                <c:pt idx="10">
                  <c:v>1.6626621816434407E-2</c:v>
                </c:pt>
                <c:pt idx="11">
                  <c:v>2.0109399360515815E-2</c:v>
                </c:pt>
                <c:pt idx="12">
                  <c:v>2.2610206037374223E-2</c:v>
                </c:pt>
                <c:pt idx="13">
                  <c:v>2.4032097948378559E-2</c:v>
                </c:pt>
                <c:pt idx="14">
                  <c:v>2.6708769159923689E-2</c:v>
                </c:pt>
                <c:pt idx="15">
                  <c:v>2.3235294117647059E-2</c:v>
                </c:pt>
                <c:pt idx="16">
                  <c:v>3.3346645367412144E-2</c:v>
                </c:pt>
                <c:pt idx="17">
                  <c:v>4.5406685969992103E-2</c:v>
                </c:pt>
                <c:pt idx="18">
                  <c:v>6.3876227771714714E-2</c:v>
                </c:pt>
                <c:pt idx="19">
                  <c:v>8.3503575076608785E-2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E1A-4281-9232-E7B4780B96B7}"/>
            </c:ext>
          </c:extLst>
        </c:ser>
        <c:ser>
          <c:idx val="11"/>
          <c:order val="11"/>
          <c:tx>
            <c:strRef>
              <c:f>age_distribution!$A$13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age_distribution!$B$1:$U$1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age_distribution!$B$13:$U$13</c:f>
              <c:numCache>
                <c:formatCode>General</c:formatCode>
                <c:ptCount val="20"/>
                <c:pt idx="0">
                  <c:v>1.5967153284671534E-2</c:v>
                </c:pt>
                <c:pt idx="1">
                  <c:v>1.6906754075735358E-2</c:v>
                </c:pt>
                <c:pt idx="2">
                  <c:v>1.8856208473909713E-2</c:v>
                </c:pt>
                <c:pt idx="3">
                  <c:v>1.856530814017357E-2</c:v>
                </c:pt>
                <c:pt idx="4">
                  <c:v>1.7399901136925359E-2</c:v>
                </c:pt>
                <c:pt idx="5">
                  <c:v>1.3635674965910812E-2</c:v>
                </c:pt>
                <c:pt idx="6">
                  <c:v>1.3691846789967566E-2</c:v>
                </c:pt>
                <c:pt idx="7">
                  <c:v>1.4826328690141687E-2</c:v>
                </c:pt>
                <c:pt idx="8">
                  <c:v>1.474073645875484E-2</c:v>
                </c:pt>
                <c:pt idx="9">
                  <c:v>1.2118274357731459E-2</c:v>
                </c:pt>
                <c:pt idx="10">
                  <c:v>1.1052378664103796E-2</c:v>
                </c:pt>
                <c:pt idx="11">
                  <c:v>1.4137356974869857E-2</c:v>
                </c:pt>
                <c:pt idx="12">
                  <c:v>1.443459511260182E-2</c:v>
                </c:pt>
                <c:pt idx="13">
                  <c:v>1.5387160820648577E-2</c:v>
                </c:pt>
                <c:pt idx="14">
                  <c:v>1.611736069995395E-2</c:v>
                </c:pt>
                <c:pt idx="15">
                  <c:v>1.7352941176470588E-2</c:v>
                </c:pt>
                <c:pt idx="16">
                  <c:v>2.2863418530351436E-2</c:v>
                </c:pt>
                <c:pt idx="17">
                  <c:v>2.9152408528560148E-2</c:v>
                </c:pt>
                <c:pt idx="18">
                  <c:v>4.2819541631893179E-2</c:v>
                </c:pt>
                <c:pt idx="19">
                  <c:v>5.5243445692883898E-2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E1A-4281-9232-E7B4780B96B7}"/>
            </c:ext>
          </c:extLst>
        </c:ser>
        <c:ser>
          <c:idx val="12"/>
          <c:order val="12"/>
          <c:tx>
            <c:strRef>
              <c:f>age_distribution!$A$14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age_distribution!$B$1:$U$1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age_distribution!$B$14:$U$14</c:f>
              <c:numCache>
                <c:formatCode>General</c:formatCode>
                <c:ptCount val="20"/>
                <c:pt idx="0">
                  <c:v>1.1291058394160584E-2</c:v>
                </c:pt>
                <c:pt idx="1">
                  <c:v>1.3068230828948504E-2</c:v>
                </c:pt>
                <c:pt idx="2">
                  <c:v>1.5130503177198683E-2</c:v>
                </c:pt>
                <c:pt idx="3">
                  <c:v>1.5626716467098758E-2</c:v>
                </c:pt>
                <c:pt idx="4">
                  <c:v>1.3198220464656451E-2</c:v>
                </c:pt>
                <c:pt idx="5">
                  <c:v>1.29286399676784E-2</c:v>
                </c:pt>
                <c:pt idx="6">
                  <c:v>1.1092129045037015E-2</c:v>
                </c:pt>
                <c:pt idx="7">
                  <c:v>1.0193100974472409E-2</c:v>
                </c:pt>
                <c:pt idx="8">
                  <c:v>1.1330134689866466E-2</c:v>
                </c:pt>
                <c:pt idx="9">
                  <c:v>9.9369849733397971E-3</c:v>
                </c:pt>
                <c:pt idx="10">
                  <c:v>8.6737145603075442E-3</c:v>
                </c:pt>
                <c:pt idx="11">
                  <c:v>1.0358586792801839E-2</c:v>
                </c:pt>
                <c:pt idx="12">
                  <c:v>1.1619549592716818E-2</c:v>
                </c:pt>
                <c:pt idx="13">
                  <c:v>1.1705823957643944E-2</c:v>
                </c:pt>
                <c:pt idx="14">
                  <c:v>1.2828103414249063E-2</c:v>
                </c:pt>
                <c:pt idx="15">
                  <c:v>1.375E-2</c:v>
                </c:pt>
                <c:pt idx="16">
                  <c:v>1.7571884984025558E-2</c:v>
                </c:pt>
                <c:pt idx="17">
                  <c:v>2.1584627533561464E-2</c:v>
                </c:pt>
                <c:pt idx="18">
                  <c:v>2.8888746228413687E-2</c:v>
                </c:pt>
                <c:pt idx="19">
                  <c:v>4.1709227102485529E-2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E1A-4281-9232-E7B4780B96B7}"/>
            </c:ext>
          </c:extLst>
        </c:ser>
        <c:ser>
          <c:idx val="13"/>
          <c:order val="13"/>
          <c:tx>
            <c:strRef>
              <c:f>age_distribution!$A$15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age_distribution!$B$1:$U$1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age_distribution!$B$15:$U$15</c:f>
              <c:numCache>
                <c:formatCode>General</c:formatCode>
                <c:ptCount val="20"/>
                <c:pt idx="0">
                  <c:v>1.1081964720194647E-2</c:v>
                </c:pt>
                <c:pt idx="1">
                  <c:v>1.1256792892262573E-2</c:v>
                </c:pt>
                <c:pt idx="2">
                  <c:v>1.1673876596361227E-2</c:v>
                </c:pt>
                <c:pt idx="3">
                  <c:v>9.9967043831703829E-3</c:v>
                </c:pt>
                <c:pt idx="4">
                  <c:v>1.2654473554127533E-2</c:v>
                </c:pt>
                <c:pt idx="5">
                  <c:v>9.6207262259481851E-3</c:v>
                </c:pt>
                <c:pt idx="6">
                  <c:v>9.5322983980786844E-3</c:v>
                </c:pt>
                <c:pt idx="7">
                  <c:v>8.758294972200634E-3</c:v>
                </c:pt>
                <c:pt idx="8">
                  <c:v>7.1680443956298051E-3</c:v>
                </c:pt>
                <c:pt idx="9">
                  <c:v>8.5866629734782911E-3</c:v>
                </c:pt>
                <c:pt idx="10">
                  <c:v>6.3911580970687169E-3</c:v>
                </c:pt>
                <c:pt idx="11">
                  <c:v>7.5575403641360353E-3</c:v>
                </c:pt>
                <c:pt idx="12">
                  <c:v>9.1938188787733591E-3</c:v>
                </c:pt>
                <c:pt idx="13">
                  <c:v>9.5549305095962937E-3</c:v>
                </c:pt>
                <c:pt idx="14">
                  <c:v>9.9006644299717127E-3</c:v>
                </c:pt>
                <c:pt idx="15">
                  <c:v>1.036764705882353E-2</c:v>
                </c:pt>
                <c:pt idx="16">
                  <c:v>1.3777955271565496E-2</c:v>
                </c:pt>
                <c:pt idx="17">
                  <c:v>1.8491708344301132E-2</c:v>
                </c:pt>
                <c:pt idx="18">
                  <c:v>2.4523335687231175E-2</c:v>
                </c:pt>
                <c:pt idx="19">
                  <c:v>2.7919645897173988E-2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E1A-4281-9232-E7B4780B96B7}"/>
            </c:ext>
          </c:extLst>
        </c:ser>
        <c:ser>
          <c:idx val="14"/>
          <c:order val="14"/>
          <c:tx>
            <c:strRef>
              <c:f>age_distribution!$A$16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age_distribution!$B$1:$U$1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age_distribution!$B$16:$U$16</c:f>
              <c:numCache>
                <c:formatCode>General</c:formatCode>
                <c:ptCount val="20"/>
                <c:pt idx="0">
                  <c:v>6.8430656934306573E-3</c:v>
                </c:pt>
                <c:pt idx="1">
                  <c:v>7.0301043733287331E-3</c:v>
                </c:pt>
                <c:pt idx="2">
                  <c:v>8.6519156334733914E-3</c:v>
                </c:pt>
                <c:pt idx="3">
                  <c:v>9.8593870152696907E-3</c:v>
                </c:pt>
                <c:pt idx="4">
                  <c:v>8.5022244191794369E-3</c:v>
                </c:pt>
                <c:pt idx="5">
                  <c:v>9.0146962274632592E-3</c:v>
                </c:pt>
                <c:pt idx="6">
                  <c:v>7.8734308846468096E-3</c:v>
                </c:pt>
                <c:pt idx="7">
                  <c:v>6.9647874693609139E-3</c:v>
                </c:pt>
                <c:pt idx="8">
                  <c:v>6.4454592751026071E-3</c:v>
                </c:pt>
                <c:pt idx="9">
                  <c:v>6.4053735890866282E-3</c:v>
                </c:pt>
                <c:pt idx="10">
                  <c:v>4.8774627582892837E-3</c:v>
                </c:pt>
                <c:pt idx="11">
                  <c:v>6.6855164759664935E-3</c:v>
                </c:pt>
                <c:pt idx="12">
                  <c:v>7.2771921418303782E-3</c:v>
                </c:pt>
                <c:pt idx="13">
                  <c:v>6.9490403706154863E-3</c:v>
                </c:pt>
                <c:pt idx="14">
                  <c:v>6.44694427998158E-3</c:v>
                </c:pt>
                <c:pt idx="15">
                  <c:v>8.1617647058823527E-3</c:v>
                </c:pt>
                <c:pt idx="16">
                  <c:v>8.0870607028753986E-3</c:v>
                </c:pt>
                <c:pt idx="17">
                  <c:v>1.1779415635693603E-2</c:v>
                </c:pt>
                <c:pt idx="18">
                  <c:v>1.5985106246388908E-2</c:v>
                </c:pt>
                <c:pt idx="19">
                  <c:v>1.9237316990125979E-2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E1A-4281-9232-E7B4780B96B7}"/>
            </c:ext>
          </c:extLst>
        </c:ser>
        <c:ser>
          <c:idx val="15"/>
          <c:order val="15"/>
          <c:tx>
            <c:strRef>
              <c:f>age_distribution!$A$17</c:f>
              <c:strCache>
                <c:ptCount val="1"/>
                <c:pt idx="0">
                  <c:v>15+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age_distribution!$B$1:$U$1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age_distribution!$B$17:$U$17</c:f>
              <c:numCache>
                <c:formatCode>General</c:formatCode>
                <c:ptCount val="20"/>
                <c:pt idx="0">
                  <c:v>3.9670772506082724E-2</c:v>
                </c:pt>
                <c:pt idx="1">
                  <c:v>4.4509617872854311E-2</c:v>
                </c:pt>
                <c:pt idx="2">
                  <c:v>4.1934882950758597E-2</c:v>
                </c:pt>
                <c:pt idx="3">
                  <c:v>4.3254970888718006E-2</c:v>
                </c:pt>
                <c:pt idx="4">
                  <c:v>4.142362827483935E-2</c:v>
                </c:pt>
                <c:pt idx="5">
                  <c:v>3.6740568658148579E-2</c:v>
                </c:pt>
                <c:pt idx="6">
                  <c:v>4.1026021936665921E-2</c:v>
                </c:pt>
                <c:pt idx="7">
                  <c:v>3.7603873976206133E-2</c:v>
                </c:pt>
                <c:pt idx="8">
                  <c:v>3.4568472166021158E-2</c:v>
                </c:pt>
                <c:pt idx="9">
                  <c:v>3.6320199432172288E-2</c:v>
                </c:pt>
                <c:pt idx="10">
                  <c:v>2.6549735703988466E-2</c:v>
                </c:pt>
                <c:pt idx="11">
                  <c:v>2.9463837433607271E-2</c:v>
                </c:pt>
                <c:pt idx="12">
                  <c:v>3.2762338284619073E-2</c:v>
                </c:pt>
                <c:pt idx="13">
                  <c:v>3.0112508272667107E-2</c:v>
                </c:pt>
                <c:pt idx="14">
                  <c:v>2.9636208144201041E-2</c:v>
                </c:pt>
                <c:pt idx="15">
                  <c:v>3.3382352941176467E-2</c:v>
                </c:pt>
                <c:pt idx="16">
                  <c:v>3.5343450479233228E-2</c:v>
                </c:pt>
                <c:pt idx="17">
                  <c:v>3.744406422742827E-2</c:v>
                </c:pt>
                <c:pt idx="18">
                  <c:v>3.7683764524619634E-2</c:v>
                </c:pt>
                <c:pt idx="19">
                  <c:v>4.4518215866530472E-2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E1A-4281-9232-E7B4780B96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28228559"/>
        <c:axId val="521084431"/>
      </c:barChart>
      <c:catAx>
        <c:axId val="52822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21084431"/>
        <c:crosses val="autoZero"/>
        <c:auto val="1"/>
        <c:lblAlgn val="ctr"/>
        <c:lblOffset val="100"/>
        <c:noMultiLvlLbl val="0"/>
      </c:catAx>
      <c:valAx>
        <c:axId val="52108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28228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Rate of Cases</a:t>
            </a:r>
            <a:r>
              <a:rPr lang="hu-HU" baseline="0"/>
              <a:t> in Age Groups 0-4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varicella16_relative!$A$2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varicella16_relative!$B$1:$U$1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varicella16_relative!$B$2:$U$2</c:f>
              <c:numCache>
                <c:formatCode>General</c:formatCode>
                <c:ptCount val="20"/>
                <c:pt idx="0">
                  <c:v>1.8809264728742423E-2</c:v>
                </c:pt>
                <c:pt idx="1">
                  <c:v>1.6363542152443133E-2</c:v>
                </c:pt>
                <c:pt idx="2">
                  <c:v>1.6923156640240428E-2</c:v>
                </c:pt>
                <c:pt idx="3">
                  <c:v>1.2466967200373076E-2</c:v>
                </c:pt>
                <c:pt idx="4">
                  <c:v>1.4954142701694388E-2</c:v>
                </c:pt>
                <c:pt idx="5">
                  <c:v>1.3679465257267216E-2</c:v>
                </c:pt>
                <c:pt idx="6">
                  <c:v>1.2902222913104305E-2</c:v>
                </c:pt>
                <c:pt idx="7">
                  <c:v>1.108865744339085E-2</c:v>
                </c:pt>
                <c:pt idx="8">
                  <c:v>1.2974765531892845E-2</c:v>
                </c:pt>
                <c:pt idx="9">
                  <c:v>1.0902119280791751E-2</c:v>
                </c:pt>
                <c:pt idx="10">
                  <c:v>1.6342815689932122E-2</c:v>
                </c:pt>
                <c:pt idx="11">
                  <c:v>1.5731385045857298E-2</c:v>
                </c:pt>
                <c:pt idx="12">
                  <c:v>1.3917819576143842E-2</c:v>
                </c:pt>
                <c:pt idx="13">
                  <c:v>9.8243432302191815E-3</c:v>
                </c:pt>
                <c:pt idx="14">
                  <c:v>1.3223483082024975E-2</c:v>
                </c:pt>
                <c:pt idx="15">
                  <c:v>7.2853515726203433E-3</c:v>
                </c:pt>
                <c:pt idx="16">
                  <c:v>5.4303331778848647E-3</c:v>
                </c:pt>
                <c:pt idx="17">
                  <c:v>6.2386652158142909E-3</c:v>
                </c:pt>
                <c:pt idx="18">
                  <c:v>5.8863153531271053E-3</c:v>
                </c:pt>
                <c:pt idx="19">
                  <c:v>4.8396289963210529E-3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A0-4918-A71F-7D8C9D879A64}"/>
            </c:ext>
          </c:extLst>
        </c:ser>
        <c:ser>
          <c:idx val="1"/>
          <c:order val="1"/>
          <c:tx>
            <c:strRef>
              <c:f>varicella16_relative!$A$3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varicella16_relative!$B$1:$U$1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varicella16_relative!$B$3:$U$3</c:f>
              <c:numCache>
                <c:formatCode>General</c:formatCode>
                <c:ptCount val="20"/>
                <c:pt idx="0">
                  <c:v>2.9535209078190579E-2</c:v>
                </c:pt>
                <c:pt idx="1">
                  <c:v>2.6063526607596248E-2</c:v>
                </c:pt>
                <c:pt idx="2">
                  <c:v>2.7566195139644541E-2</c:v>
                </c:pt>
                <c:pt idx="3">
                  <c:v>2.107881237369812E-2</c:v>
                </c:pt>
                <c:pt idx="4">
                  <c:v>2.4840665319446602E-2</c:v>
                </c:pt>
                <c:pt idx="5">
                  <c:v>2.3959790662728638E-2</c:v>
                </c:pt>
                <c:pt idx="6">
                  <c:v>2.4270687600393803E-2</c:v>
                </c:pt>
                <c:pt idx="7">
                  <c:v>1.7617493134359292E-2</c:v>
                </c:pt>
                <c:pt idx="8">
                  <c:v>2.0602103735944868E-2</c:v>
                </c:pt>
                <c:pt idx="9">
                  <c:v>1.7223690346650087E-2</c:v>
                </c:pt>
                <c:pt idx="10">
                  <c:v>2.6747499870459608E-2</c:v>
                </c:pt>
                <c:pt idx="11">
                  <c:v>2.562827089486502E-2</c:v>
                </c:pt>
                <c:pt idx="12">
                  <c:v>2.0560650810922846E-2</c:v>
                </c:pt>
                <c:pt idx="13">
                  <c:v>1.4695061920306752E-2</c:v>
                </c:pt>
                <c:pt idx="14">
                  <c:v>1.7576040209337271E-2</c:v>
                </c:pt>
                <c:pt idx="15">
                  <c:v>5.8344991968495774E-3</c:v>
                </c:pt>
                <c:pt idx="16">
                  <c:v>2.1244624073786206E-3</c:v>
                </c:pt>
                <c:pt idx="17">
                  <c:v>3.2126016892066946E-3</c:v>
                </c:pt>
                <c:pt idx="18">
                  <c:v>2.5597181201098503E-3</c:v>
                </c:pt>
                <c:pt idx="19">
                  <c:v>1.4612156070262707E-3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A0-4918-A71F-7D8C9D879A64}"/>
            </c:ext>
          </c:extLst>
        </c:ser>
        <c:ser>
          <c:idx val="2"/>
          <c:order val="2"/>
          <c:tx>
            <c:strRef>
              <c:f>varicella16_relative!$A$4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varicella16_relative!$B$1:$U$1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varicella16_relative!$B$4:$U$4</c:f>
              <c:numCache>
                <c:formatCode>General</c:formatCode>
                <c:ptCount val="20"/>
                <c:pt idx="0">
                  <c:v>3.9784444789885486E-2</c:v>
                </c:pt>
                <c:pt idx="1">
                  <c:v>3.4737551168454325E-2</c:v>
                </c:pt>
                <c:pt idx="2">
                  <c:v>3.7317995751075188E-2</c:v>
                </c:pt>
                <c:pt idx="3">
                  <c:v>2.8851235815327218E-2</c:v>
                </c:pt>
                <c:pt idx="4">
                  <c:v>3.2695994611119744E-2</c:v>
                </c:pt>
                <c:pt idx="5">
                  <c:v>3.1980931654489869E-2</c:v>
                </c:pt>
                <c:pt idx="6">
                  <c:v>3.5608062593916787E-2</c:v>
                </c:pt>
                <c:pt idx="7">
                  <c:v>2.7348567283278925E-2</c:v>
                </c:pt>
                <c:pt idx="8">
                  <c:v>2.7618011295922069E-2</c:v>
                </c:pt>
                <c:pt idx="9">
                  <c:v>2.3918337737706616E-2</c:v>
                </c:pt>
                <c:pt idx="10">
                  <c:v>3.8831027514378981E-2</c:v>
                </c:pt>
                <c:pt idx="11">
                  <c:v>3.3265972330172547E-2</c:v>
                </c:pt>
                <c:pt idx="12">
                  <c:v>2.7825275921032178E-2</c:v>
                </c:pt>
                <c:pt idx="13">
                  <c:v>1.890253381004197E-2</c:v>
                </c:pt>
                <c:pt idx="14">
                  <c:v>2.2850924918389554E-2</c:v>
                </c:pt>
                <c:pt idx="15">
                  <c:v>1.0311415099227939E-2</c:v>
                </c:pt>
                <c:pt idx="16">
                  <c:v>2.176278563656148E-3</c:v>
                </c:pt>
                <c:pt idx="17">
                  <c:v>1.0466863568060522E-3</c:v>
                </c:pt>
                <c:pt idx="18">
                  <c:v>9.6378050676200835E-4</c:v>
                </c:pt>
                <c:pt idx="19">
                  <c:v>5.9070418156381157E-4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A0-4918-A71F-7D8C9D879A64}"/>
            </c:ext>
          </c:extLst>
        </c:ser>
        <c:ser>
          <c:idx val="3"/>
          <c:order val="3"/>
          <c:tx>
            <c:strRef>
              <c:f>varicella16_relative!$A$5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varicella16_relative!$B$1:$U$1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varicella16_relative!$B$5:$U$5</c:f>
              <c:numCache>
                <c:formatCode>General</c:formatCode>
                <c:ptCount val="20"/>
                <c:pt idx="0">
                  <c:v>8.2677858956422615E-2</c:v>
                </c:pt>
                <c:pt idx="1">
                  <c:v>7.542359707756878E-2</c:v>
                </c:pt>
                <c:pt idx="2">
                  <c:v>7.6791543603295501E-2</c:v>
                </c:pt>
                <c:pt idx="3">
                  <c:v>5.8780247681227006E-2</c:v>
                </c:pt>
                <c:pt idx="4">
                  <c:v>6.8583864448935175E-2</c:v>
                </c:pt>
                <c:pt idx="5">
                  <c:v>6.9464739105653137E-2</c:v>
                </c:pt>
                <c:pt idx="6">
                  <c:v>6.8988030467899891E-2</c:v>
                </c:pt>
                <c:pt idx="7">
                  <c:v>5.9484947406601381E-2</c:v>
                </c:pt>
                <c:pt idx="8">
                  <c:v>6.0023835431887662E-2</c:v>
                </c:pt>
                <c:pt idx="9">
                  <c:v>4.8841908907197265E-2</c:v>
                </c:pt>
                <c:pt idx="10">
                  <c:v>7.2459712938494222E-2</c:v>
                </c:pt>
                <c:pt idx="11">
                  <c:v>6.5661433234882632E-2</c:v>
                </c:pt>
                <c:pt idx="12">
                  <c:v>5.4738587491579872E-2</c:v>
                </c:pt>
                <c:pt idx="13">
                  <c:v>4.0800041452925019E-2</c:v>
                </c:pt>
                <c:pt idx="14">
                  <c:v>4.5919477693144722E-2</c:v>
                </c:pt>
                <c:pt idx="15">
                  <c:v>1.9907767241826E-2</c:v>
                </c:pt>
                <c:pt idx="16">
                  <c:v>1.2052437950152858E-2</c:v>
                </c:pt>
                <c:pt idx="17">
                  <c:v>6.5184724597129387E-3</c:v>
                </c:pt>
                <c:pt idx="18">
                  <c:v>1.5026685320482928E-3</c:v>
                </c:pt>
                <c:pt idx="19">
                  <c:v>9.1196435048448109E-4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A0-4918-A71F-7D8C9D879A64}"/>
            </c:ext>
          </c:extLst>
        </c:ser>
        <c:ser>
          <c:idx val="4"/>
          <c:order val="4"/>
          <c:tx>
            <c:strRef>
              <c:f>varicella16_relative!$A$6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varicella16_relative!$B$1:$U$1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varicella16_relative!$B$6:$U$6</c:f>
              <c:numCache>
                <c:formatCode>General</c:formatCode>
                <c:ptCount val="20"/>
                <c:pt idx="0">
                  <c:v>9.2792372661795949E-2</c:v>
                </c:pt>
                <c:pt idx="1">
                  <c:v>8.4232343644748436E-2</c:v>
                </c:pt>
                <c:pt idx="2">
                  <c:v>8.4926680138867297E-2</c:v>
                </c:pt>
                <c:pt idx="3">
                  <c:v>6.4324576402922426E-2</c:v>
                </c:pt>
                <c:pt idx="4">
                  <c:v>7.231462770091715E-2</c:v>
                </c:pt>
                <c:pt idx="5">
                  <c:v>7.3765480076687914E-2</c:v>
                </c:pt>
                <c:pt idx="6">
                  <c:v>7.5071247214881606E-2</c:v>
                </c:pt>
                <c:pt idx="7">
                  <c:v>6.509145551582983E-2</c:v>
                </c:pt>
                <c:pt idx="8">
                  <c:v>6.618995802891342E-2</c:v>
                </c:pt>
                <c:pt idx="9">
                  <c:v>5.4147883310016062E-2</c:v>
                </c:pt>
                <c:pt idx="10">
                  <c:v>7.6439193740608327E-2</c:v>
                </c:pt>
                <c:pt idx="11">
                  <c:v>6.7765169179750243E-2</c:v>
                </c:pt>
                <c:pt idx="12">
                  <c:v>5.988911342556609E-2</c:v>
                </c:pt>
                <c:pt idx="13">
                  <c:v>4.1805274884709052E-2</c:v>
                </c:pt>
                <c:pt idx="14">
                  <c:v>5.1619254883672729E-2</c:v>
                </c:pt>
                <c:pt idx="15">
                  <c:v>2.2260220736825743E-2</c:v>
                </c:pt>
                <c:pt idx="16">
                  <c:v>1.6104461371055496E-2</c:v>
                </c:pt>
                <c:pt idx="17">
                  <c:v>2.1296440230063735E-2</c:v>
                </c:pt>
                <c:pt idx="18">
                  <c:v>6.7464635473340586E-3</c:v>
                </c:pt>
                <c:pt idx="19">
                  <c:v>1.1814083631276231E-3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6A0-4918-A71F-7D8C9D879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3797007"/>
        <c:axId val="613787407"/>
      </c:lineChart>
      <c:catAx>
        <c:axId val="613797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613787407"/>
        <c:crosses val="autoZero"/>
        <c:auto val="1"/>
        <c:lblAlgn val="ctr"/>
        <c:lblOffset val="100"/>
        <c:noMultiLvlLbl val="0"/>
      </c:catAx>
      <c:valAx>
        <c:axId val="61378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613797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varicella16_relative!$A$7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varicella16_relative!$B$1:$U$1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varicella16_relative!$B$7:$U$7</c:f>
              <c:numCache>
                <c:formatCode>General</c:formatCode>
                <c:ptCount val="20"/>
                <c:pt idx="0">
                  <c:v>8.1579356443339038E-2</c:v>
                </c:pt>
                <c:pt idx="1">
                  <c:v>7.0096896212238982E-2</c:v>
                </c:pt>
                <c:pt idx="2">
                  <c:v>7.349603606404477E-2</c:v>
                </c:pt>
                <c:pt idx="3">
                  <c:v>5.493548888543448E-2</c:v>
                </c:pt>
                <c:pt idx="4">
                  <c:v>5.9060054925125657E-2</c:v>
                </c:pt>
                <c:pt idx="5">
                  <c:v>6.3308979739882892E-2</c:v>
                </c:pt>
                <c:pt idx="6">
                  <c:v>6.2977356339706719E-2</c:v>
                </c:pt>
                <c:pt idx="7">
                  <c:v>5.3267008653298101E-2</c:v>
                </c:pt>
                <c:pt idx="8">
                  <c:v>5.4241152391315613E-2</c:v>
                </c:pt>
                <c:pt idx="9">
                  <c:v>4.7256334525104929E-2</c:v>
                </c:pt>
                <c:pt idx="10">
                  <c:v>6.7765169179750243E-2</c:v>
                </c:pt>
                <c:pt idx="11">
                  <c:v>5.601326493600705E-2</c:v>
                </c:pt>
                <c:pt idx="12">
                  <c:v>4.9152805844862431E-2</c:v>
                </c:pt>
                <c:pt idx="13">
                  <c:v>3.6136587387947561E-2</c:v>
                </c:pt>
                <c:pt idx="14">
                  <c:v>4.7225244831338414E-2</c:v>
                </c:pt>
                <c:pt idx="15">
                  <c:v>2.024975387325768E-2</c:v>
                </c:pt>
                <c:pt idx="16">
                  <c:v>1.6259909839888079E-2</c:v>
                </c:pt>
                <c:pt idx="17">
                  <c:v>2.409451266905021E-2</c:v>
                </c:pt>
                <c:pt idx="18">
                  <c:v>2.2156588424270686E-2</c:v>
                </c:pt>
                <c:pt idx="19">
                  <c:v>4.8914451525985799E-3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78-406E-B4E1-57D18896EE2C}"/>
            </c:ext>
          </c:extLst>
        </c:ser>
        <c:ser>
          <c:idx val="1"/>
          <c:order val="1"/>
          <c:tx>
            <c:strRef>
              <c:f>varicella16_relative!$A$8</c:f>
              <c:strCache>
                <c:ptCount val="1"/>
                <c:pt idx="0">
                  <c:v>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varicella16_relative!$B$1:$U$1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varicella16_relative!$B$8:$U$8</c:f>
              <c:numCache>
                <c:formatCode>General</c:formatCode>
                <c:ptCount val="20"/>
                <c:pt idx="0">
                  <c:v>5.8790610912482513E-2</c:v>
                </c:pt>
                <c:pt idx="1">
                  <c:v>5.0323850976734544E-2</c:v>
                </c:pt>
                <c:pt idx="2">
                  <c:v>5.3349914503342144E-2</c:v>
                </c:pt>
                <c:pt idx="3">
                  <c:v>3.9515000777242341E-2</c:v>
                </c:pt>
                <c:pt idx="4">
                  <c:v>4.4696616404995081E-2</c:v>
                </c:pt>
                <c:pt idx="5">
                  <c:v>4.2665423078916007E-2</c:v>
                </c:pt>
                <c:pt idx="6">
                  <c:v>4.2820871547748586E-2</c:v>
                </c:pt>
                <c:pt idx="7">
                  <c:v>3.6437121094357219E-2</c:v>
                </c:pt>
                <c:pt idx="8">
                  <c:v>3.9276646458365719E-2</c:v>
                </c:pt>
                <c:pt idx="9">
                  <c:v>3.3162340017617496E-2</c:v>
                </c:pt>
                <c:pt idx="10">
                  <c:v>4.6872894968651227E-2</c:v>
                </c:pt>
                <c:pt idx="11">
                  <c:v>4.2033265972330175E-2</c:v>
                </c:pt>
                <c:pt idx="12">
                  <c:v>3.5856780144048916E-2</c:v>
                </c:pt>
                <c:pt idx="13">
                  <c:v>2.6623141095393543E-2</c:v>
                </c:pt>
                <c:pt idx="14">
                  <c:v>3.6913829732110472E-2</c:v>
                </c:pt>
                <c:pt idx="15">
                  <c:v>1.5824654127156848E-2</c:v>
                </c:pt>
                <c:pt idx="16">
                  <c:v>1.4570703145240687E-2</c:v>
                </c:pt>
                <c:pt idx="17">
                  <c:v>2.2001139955438107E-2</c:v>
                </c:pt>
                <c:pt idx="18">
                  <c:v>2.5265557800922326E-2</c:v>
                </c:pt>
                <c:pt idx="19">
                  <c:v>1.6736618477641328E-2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78-406E-B4E1-57D18896EE2C}"/>
            </c:ext>
          </c:extLst>
        </c:ser>
        <c:ser>
          <c:idx val="2"/>
          <c:order val="2"/>
          <c:tx>
            <c:strRef>
              <c:f>varicella16_relative!$A$9</c:f>
              <c:strCache>
                <c:ptCount val="1"/>
                <c:pt idx="0">
                  <c:v>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varicella16_relative!$B$1:$U$1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varicella16_relative!$B$9:$U$9</c:f>
              <c:numCache>
                <c:formatCode>General</c:formatCode>
                <c:ptCount val="20"/>
                <c:pt idx="0">
                  <c:v>3.7856883776361469E-2</c:v>
                </c:pt>
                <c:pt idx="1">
                  <c:v>2.9949738328410799E-2</c:v>
                </c:pt>
                <c:pt idx="2">
                  <c:v>3.0758070366340224E-2</c:v>
                </c:pt>
                <c:pt idx="3">
                  <c:v>2.4363956681693354E-2</c:v>
                </c:pt>
                <c:pt idx="4">
                  <c:v>2.5203378413389294E-2</c:v>
                </c:pt>
                <c:pt idx="5">
                  <c:v>2.4167055287838749E-2</c:v>
                </c:pt>
                <c:pt idx="6">
                  <c:v>2.4477952225503911E-2</c:v>
                </c:pt>
                <c:pt idx="7">
                  <c:v>2.0436292035856781E-2</c:v>
                </c:pt>
                <c:pt idx="8">
                  <c:v>2.2021866417949117E-2</c:v>
                </c:pt>
                <c:pt idx="9">
                  <c:v>1.8736722109953884E-2</c:v>
                </c:pt>
                <c:pt idx="10">
                  <c:v>2.6436602932794446E-2</c:v>
                </c:pt>
                <c:pt idx="11">
                  <c:v>2.4167055287838749E-2</c:v>
                </c:pt>
                <c:pt idx="12">
                  <c:v>2.2249857505570236E-2</c:v>
                </c:pt>
                <c:pt idx="13">
                  <c:v>1.6508627390020209E-2</c:v>
                </c:pt>
                <c:pt idx="14">
                  <c:v>2.2664386755790456E-2</c:v>
                </c:pt>
                <c:pt idx="15">
                  <c:v>1.1565366081144101E-2</c:v>
                </c:pt>
                <c:pt idx="16">
                  <c:v>1.0249235711694907E-2</c:v>
                </c:pt>
                <c:pt idx="17">
                  <c:v>2.0374112648323749E-2</c:v>
                </c:pt>
                <c:pt idx="18">
                  <c:v>2.6322607388983885E-2</c:v>
                </c:pt>
                <c:pt idx="19">
                  <c:v>2.4073786206539199E-2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78-406E-B4E1-57D18896EE2C}"/>
            </c:ext>
          </c:extLst>
        </c:ser>
        <c:ser>
          <c:idx val="3"/>
          <c:order val="3"/>
          <c:tx>
            <c:strRef>
              <c:f>varicella16_relative!$A$10</c:f>
              <c:strCache>
                <c:ptCount val="1"/>
                <c:pt idx="0">
                  <c:v>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varicella16_relative!$B$1:$U$1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varicella16_relative!$B$10:$U$10</c:f>
              <c:numCache>
                <c:formatCode>General</c:formatCode>
                <c:ptCount val="20"/>
                <c:pt idx="0">
                  <c:v>2.5421006269754909E-2</c:v>
                </c:pt>
                <c:pt idx="1">
                  <c:v>2.091300067361003E-2</c:v>
                </c:pt>
                <c:pt idx="2">
                  <c:v>2.2726566143323489E-2</c:v>
                </c:pt>
                <c:pt idx="3">
                  <c:v>1.5783201202134826E-2</c:v>
                </c:pt>
                <c:pt idx="4">
                  <c:v>1.6819524327685371E-2</c:v>
                </c:pt>
                <c:pt idx="5">
                  <c:v>1.5171770558060004E-2</c:v>
                </c:pt>
                <c:pt idx="6">
                  <c:v>1.6384268614954144E-2</c:v>
                </c:pt>
                <c:pt idx="7">
                  <c:v>1.4125084201253951E-2</c:v>
                </c:pt>
                <c:pt idx="8">
                  <c:v>1.3140577231980931E-2</c:v>
                </c:pt>
                <c:pt idx="9">
                  <c:v>1.1067930980879838E-2</c:v>
                </c:pt>
                <c:pt idx="10">
                  <c:v>1.6674439090108295E-2</c:v>
                </c:pt>
                <c:pt idx="11">
                  <c:v>1.620809368361055E-2</c:v>
                </c:pt>
                <c:pt idx="12">
                  <c:v>1.7171874190372558E-2</c:v>
                </c:pt>
                <c:pt idx="13">
                  <c:v>1.2632778900461163E-2</c:v>
                </c:pt>
                <c:pt idx="14">
                  <c:v>1.4705425151562257E-2</c:v>
                </c:pt>
                <c:pt idx="15">
                  <c:v>7.3371677288978704E-3</c:v>
                </c:pt>
                <c:pt idx="16">
                  <c:v>6.9537281724441685E-3</c:v>
                </c:pt>
                <c:pt idx="17">
                  <c:v>1.6425721539976165E-2</c:v>
                </c:pt>
                <c:pt idx="18">
                  <c:v>2.0498471423389814E-2</c:v>
                </c:pt>
                <c:pt idx="19">
                  <c:v>1.9213430747707136E-2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78-406E-B4E1-57D18896EE2C}"/>
            </c:ext>
          </c:extLst>
        </c:ser>
        <c:ser>
          <c:idx val="4"/>
          <c:order val="4"/>
          <c:tx>
            <c:strRef>
              <c:f>varicella16_relative!$A$11</c:f>
              <c:strCache>
                <c:ptCount val="1"/>
                <c:pt idx="0">
                  <c:v>9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varicella16_relative!$B$1:$U$1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varicella16_relative!$B$11:$U$11</c:f>
              <c:numCache>
                <c:formatCode>General</c:formatCode>
                <c:ptCount val="20"/>
                <c:pt idx="0">
                  <c:v>1.8809264728742423E-2</c:v>
                </c:pt>
                <c:pt idx="1">
                  <c:v>1.5493030726980673E-2</c:v>
                </c:pt>
                <c:pt idx="2">
                  <c:v>1.6353178921187626E-2</c:v>
                </c:pt>
                <c:pt idx="3">
                  <c:v>1.1254469143478937E-2</c:v>
                </c:pt>
                <c:pt idx="4">
                  <c:v>1.1720814549976684E-2</c:v>
                </c:pt>
                <c:pt idx="5">
                  <c:v>1.0622312036893103E-2</c:v>
                </c:pt>
                <c:pt idx="6">
                  <c:v>1.2415151044095549E-2</c:v>
                </c:pt>
                <c:pt idx="7">
                  <c:v>8.3320379294263957E-3</c:v>
                </c:pt>
                <c:pt idx="8">
                  <c:v>9.2232758173998661E-3</c:v>
                </c:pt>
                <c:pt idx="9">
                  <c:v>6.7050106223120369E-3</c:v>
                </c:pt>
                <c:pt idx="10">
                  <c:v>1.0757034043214674E-2</c:v>
                </c:pt>
                <c:pt idx="11">
                  <c:v>1.1067930980879838E-2</c:v>
                </c:pt>
                <c:pt idx="12">
                  <c:v>1.0808850199492202E-2</c:v>
                </c:pt>
                <c:pt idx="13">
                  <c:v>8.1247733043162858E-3</c:v>
                </c:pt>
                <c:pt idx="14">
                  <c:v>1.0342504792994455E-2</c:v>
                </c:pt>
                <c:pt idx="15">
                  <c:v>5.388880252862843E-3</c:v>
                </c:pt>
                <c:pt idx="16">
                  <c:v>4.2800145085237573E-3</c:v>
                </c:pt>
                <c:pt idx="17">
                  <c:v>1.0466863568060522E-2</c:v>
                </c:pt>
                <c:pt idx="18">
                  <c:v>1.5016322089227421E-2</c:v>
                </c:pt>
                <c:pt idx="19">
                  <c:v>1.4715788382817762E-2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B78-406E-B4E1-57D18896E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0373855"/>
        <c:axId val="800360415"/>
      </c:lineChart>
      <c:catAx>
        <c:axId val="800373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800360415"/>
        <c:crosses val="autoZero"/>
        <c:auto val="1"/>
        <c:lblAlgn val="ctr"/>
        <c:lblOffset val="100"/>
        <c:noMultiLvlLbl val="0"/>
      </c:catAx>
      <c:valAx>
        <c:axId val="80036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800373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varicella16_relative!$A$2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varicella16_relative!$B$1:$U$1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varicella16_relative!$B$2:$U$2</c:f>
              <c:numCache>
                <c:formatCode>General</c:formatCode>
                <c:ptCount val="20"/>
                <c:pt idx="0">
                  <c:v>1.8809264728742423E-2</c:v>
                </c:pt>
                <c:pt idx="1">
                  <c:v>1.6363542152443133E-2</c:v>
                </c:pt>
                <c:pt idx="2">
                  <c:v>1.6923156640240428E-2</c:v>
                </c:pt>
                <c:pt idx="3">
                  <c:v>1.2466967200373076E-2</c:v>
                </c:pt>
                <c:pt idx="4">
                  <c:v>1.4954142701694388E-2</c:v>
                </c:pt>
                <c:pt idx="5">
                  <c:v>1.3679465257267216E-2</c:v>
                </c:pt>
                <c:pt idx="6">
                  <c:v>1.2902222913104305E-2</c:v>
                </c:pt>
                <c:pt idx="7">
                  <c:v>1.108865744339085E-2</c:v>
                </c:pt>
                <c:pt idx="8">
                  <c:v>1.2974765531892845E-2</c:v>
                </c:pt>
                <c:pt idx="9">
                  <c:v>1.0902119280791751E-2</c:v>
                </c:pt>
                <c:pt idx="10">
                  <c:v>1.6342815689932122E-2</c:v>
                </c:pt>
                <c:pt idx="11">
                  <c:v>1.5731385045857298E-2</c:v>
                </c:pt>
                <c:pt idx="12">
                  <c:v>1.3917819576143842E-2</c:v>
                </c:pt>
                <c:pt idx="13">
                  <c:v>9.8243432302191815E-3</c:v>
                </c:pt>
                <c:pt idx="14">
                  <c:v>1.3223483082024975E-2</c:v>
                </c:pt>
                <c:pt idx="15">
                  <c:v>7.2853515726203433E-3</c:v>
                </c:pt>
                <c:pt idx="16">
                  <c:v>5.4303331778848647E-3</c:v>
                </c:pt>
                <c:pt idx="17">
                  <c:v>6.2386652158142909E-3</c:v>
                </c:pt>
                <c:pt idx="18">
                  <c:v>5.8863153531271053E-3</c:v>
                </c:pt>
                <c:pt idx="19">
                  <c:v>4.8396289963210529E-3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5E-4E22-AD26-8EA12EA6FC0E}"/>
            </c:ext>
          </c:extLst>
        </c:ser>
        <c:ser>
          <c:idx val="1"/>
          <c:order val="1"/>
          <c:tx>
            <c:strRef>
              <c:f>varicella16_relative!$A$3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varicella16_relative!$B$1:$U$1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varicella16_relative!$B$3:$U$3</c:f>
              <c:numCache>
                <c:formatCode>General</c:formatCode>
                <c:ptCount val="20"/>
                <c:pt idx="0">
                  <c:v>2.9535209078190579E-2</c:v>
                </c:pt>
                <c:pt idx="1">
                  <c:v>2.6063526607596248E-2</c:v>
                </c:pt>
                <c:pt idx="2">
                  <c:v>2.7566195139644541E-2</c:v>
                </c:pt>
                <c:pt idx="3">
                  <c:v>2.107881237369812E-2</c:v>
                </c:pt>
                <c:pt idx="4">
                  <c:v>2.4840665319446602E-2</c:v>
                </c:pt>
                <c:pt idx="5">
                  <c:v>2.3959790662728638E-2</c:v>
                </c:pt>
                <c:pt idx="6">
                  <c:v>2.4270687600393803E-2</c:v>
                </c:pt>
                <c:pt idx="7">
                  <c:v>1.7617493134359292E-2</c:v>
                </c:pt>
                <c:pt idx="8">
                  <c:v>2.0602103735944868E-2</c:v>
                </c:pt>
                <c:pt idx="9">
                  <c:v>1.7223690346650087E-2</c:v>
                </c:pt>
                <c:pt idx="10">
                  <c:v>2.6747499870459608E-2</c:v>
                </c:pt>
                <c:pt idx="11">
                  <c:v>2.562827089486502E-2</c:v>
                </c:pt>
                <c:pt idx="12">
                  <c:v>2.0560650810922846E-2</c:v>
                </c:pt>
                <c:pt idx="13">
                  <c:v>1.4695061920306752E-2</c:v>
                </c:pt>
                <c:pt idx="14">
                  <c:v>1.7576040209337271E-2</c:v>
                </c:pt>
                <c:pt idx="15">
                  <c:v>5.8344991968495774E-3</c:v>
                </c:pt>
                <c:pt idx="16">
                  <c:v>2.1244624073786206E-3</c:v>
                </c:pt>
                <c:pt idx="17">
                  <c:v>3.2126016892066946E-3</c:v>
                </c:pt>
                <c:pt idx="18">
                  <c:v>2.5597181201098503E-3</c:v>
                </c:pt>
                <c:pt idx="19">
                  <c:v>1.4612156070262707E-3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5E-4E22-AD26-8EA12EA6FC0E}"/>
            </c:ext>
          </c:extLst>
        </c:ser>
        <c:ser>
          <c:idx val="2"/>
          <c:order val="2"/>
          <c:tx>
            <c:strRef>
              <c:f>varicella16_relative!$A$4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varicella16_relative!$B$1:$U$1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varicella16_relative!$B$4:$U$4</c:f>
              <c:numCache>
                <c:formatCode>General</c:formatCode>
                <c:ptCount val="20"/>
                <c:pt idx="0">
                  <c:v>3.9784444789885486E-2</c:v>
                </c:pt>
                <c:pt idx="1">
                  <c:v>3.4737551168454325E-2</c:v>
                </c:pt>
                <c:pt idx="2">
                  <c:v>3.7317995751075188E-2</c:v>
                </c:pt>
                <c:pt idx="3">
                  <c:v>2.8851235815327218E-2</c:v>
                </c:pt>
                <c:pt idx="4">
                  <c:v>3.2695994611119744E-2</c:v>
                </c:pt>
                <c:pt idx="5">
                  <c:v>3.1980931654489869E-2</c:v>
                </c:pt>
                <c:pt idx="6">
                  <c:v>3.5608062593916787E-2</c:v>
                </c:pt>
                <c:pt idx="7">
                  <c:v>2.7348567283278925E-2</c:v>
                </c:pt>
                <c:pt idx="8">
                  <c:v>2.7618011295922069E-2</c:v>
                </c:pt>
                <c:pt idx="9">
                  <c:v>2.3918337737706616E-2</c:v>
                </c:pt>
                <c:pt idx="10">
                  <c:v>3.8831027514378981E-2</c:v>
                </c:pt>
                <c:pt idx="11">
                  <c:v>3.3265972330172547E-2</c:v>
                </c:pt>
                <c:pt idx="12">
                  <c:v>2.7825275921032178E-2</c:v>
                </c:pt>
                <c:pt idx="13">
                  <c:v>1.890253381004197E-2</c:v>
                </c:pt>
                <c:pt idx="14">
                  <c:v>2.2850924918389554E-2</c:v>
                </c:pt>
                <c:pt idx="15">
                  <c:v>1.0311415099227939E-2</c:v>
                </c:pt>
                <c:pt idx="16">
                  <c:v>2.176278563656148E-3</c:v>
                </c:pt>
                <c:pt idx="17">
                  <c:v>1.0466863568060522E-3</c:v>
                </c:pt>
                <c:pt idx="18">
                  <c:v>9.6378050676200835E-4</c:v>
                </c:pt>
                <c:pt idx="19">
                  <c:v>5.9070418156381157E-4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5E-4E22-AD26-8EA12EA6FC0E}"/>
            </c:ext>
          </c:extLst>
        </c:ser>
        <c:ser>
          <c:idx val="3"/>
          <c:order val="3"/>
          <c:tx>
            <c:strRef>
              <c:f>varicella16_relative!$A$5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varicella16_relative!$B$1:$U$1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varicella16_relative!$B$5:$U$5</c:f>
              <c:numCache>
                <c:formatCode>General</c:formatCode>
                <c:ptCount val="20"/>
                <c:pt idx="0">
                  <c:v>8.2677858956422615E-2</c:v>
                </c:pt>
                <c:pt idx="1">
                  <c:v>7.542359707756878E-2</c:v>
                </c:pt>
                <c:pt idx="2">
                  <c:v>7.6791543603295501E-2</c:v>
                </c:pt>
                <c:pt idx="3">
                  <c:v>5.8780247681227006E-2</c:v>
                </c:pt>
                <c:pt idx="4">
                  <c:v>6.8583864448935175E-2</c:v>
                </c:pt>
                <c:pt idx="5">
                  <c:v>6.9464739105653137E-2</c:v>
                </c:pt>
                <c:pt idx="6">
                  <c:v>6.8988030467899891E-2</c:v>
                </c:pt>
                <c:pt idx="7">
                  <c:v>5.9484947406601381E-2</c:v>
                </c:pt>
                <c:pt idx="8">
                  <c:v>6.0023835431887662E-2</c:v>
                </c:pt>
                <c:pt idx="9">
                  <c:v>4.8841908907197265E-2</c:v>
                </c:pt>
                <c:pt idx="10">
                  <c:v>7.2459712938494222E-2</c:v>
                </c:pt>
                <c:pt idx="11">
                  <c:v>6.5661433234882632E-2</c:v>
                </c:pt>
                <c:pt idx="12">
                  <c:v>5.4738587491579872E-2</c:v>
                </c:pt>
                <c:pt idx="13">
                  <c:v>4.0800041452925019E-2</c:v>
                </c:pt>
                <c:pt idx="14">
                  <c:v>4.5919477693144722E-2</c:v>
                </c:pt>
                <c:pt idx="15">
                  <c:v>1.9907767241826E-2</c:v>
                </c:pt>
                <c:pt idx="16">
                  <c:v>1.2052437950152858E-2</c:v>
                </c:pt>
                <c:pt idx="17">
                  <c:v>6.5184724597129387E-3</c:v>
                </c:pt>
                <c:pt idx="18">
                  <c:v>1.5026685320482928E-3</c:v>
                </c:pt>
                <c:pt idx="19">
                  <c:v>9.1196435048448109E-4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5E-4E22-AD26-8EA12EA6FC0E}"/>
            </c:ext>
          </c:extLst>
        </c:ser>
        <c:ser>
          <c:idx val="4"/>
          <c:order val="4"/>
          <c:tx>
            <c:strRef>
              <c:f>varicella16_relative!$A$6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varicella16_relative!$B$1:$U$1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varicella16_relative!$B$6:$U$6</c:f>
              <c:numCache>
                <c:formatCode>General</c:formatCode>
                <c:ptCount val="20"/>
                <c:pt idx="0">
                  <c:v>9.2792372661795949E-2</c:v>
                </c:pt>
                <c:pt idx="1">
                  <c:v>8.4232343644748436E-2</c:v>
                </c:pt>
                <c:pt idx="2">
                  <c:v>8.4926680138867297E-2</c:v>
                </c:pt>
                <c:pt idx="3">
                  <c:v>6.4324576402922426E-2</c:v>
                </c:pt>
                <c:pt idx="4">
                  <c:v>7.231462770091715E-2</c:v>
                </c:pt>
                <c:pt idx="5">
                  <c:v>7.3765480076687914E-2</c:v>
                </c:pt>
                <c:pt idx="6">
                  <c:v>7.5071247214881606E-2</c:v>
                </c:pt>
                <c:pt idx="7">
                  <c:v>6.509145551582983E-2</c:v>
                </c:pt>
                <c:pt idx="8">
                  <c:v>6.618995802891342E-2</c:v>
                </c:pt>
                <c:pt idx="9">
                  <c:v>5.4147883310016062E-2</c:v>
                </c:pt>
                <c:pt idx="10">
                  <c:v>7.6439193740608327E-2</c:v>
                </c:pt>
                <c:pt idx="11">
                  <c:v>6.7765169179750243E-2</c:v>
                </c:pt>
                <c:pt idx="12">
                  <c:v>5.988911342556609E-2</c:v>
                </c:pt>
                <c:pt idx="13">
                  <c:v>4.1805274884709052E-2</c:v>
                </c:pt>
                <c:pt idx="14">
                  <c:v>5.1619254883672729E-2</c:v>
                </c:pt>
                <c:pt idx="15">
                  <c:v>2.2260220736825743E-2</c:v>
                </c:pt>
                <c:pt idx="16">
                  <c:v>1.6104461371055496E-2</c:v>
                </c:pt>
                <c:pt idx="17">
                  <c:v>2.1296440230063735E-2</c:v>
                </c:pt>
                <c:pt idx="18">
                  <c:v>6.7464635473340586E-3</c:v>
                </c:pt>
                <c:pt idx="19">
                  <c:v>1.1814083631276231E-3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5E-4E22-AD26-8EA12EA6FC0E}"/>
            </c:ext>
          </c:extLst>
        </c:ser>
        <c:ser>
          <c:idx val="5"/>
          <c:order val="5"/>
          <c:tx>
            <c:strRef>
              <c:f>varicella16_relative!$A$7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varicella16_relative!$B$1:$U$1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varicella16_relative!$B$7:$U$7</c:f>
              <c:numCache>
                <c:formatCode>General</c:formatCode>
                <c:ptCount val="20"/>
                <c:pt idx="0">
                  <c:v>8.1579356443339038E-2</c:v>
                </c:pt>
                <c:pt idx="1">
                  <c:v>7.0096896212238982E-2</c:v>
                </c:pt>
                <c:pt idx="2">
                  <c:v>7.349603606404477E-2</c:v>
                </c:pt>
                <c:pt idx="3">
                  <c:v>5.493548888543448E-2</c:v>
                </c:pt>
                <c:pt idx="4">
                  <c:v>5.9060054925125657E-2</c:v>
                </c:pt>
                <c:pt idx="5">
                  <c:v>6.3308979739882892E-2</c:v>
                </c:pt>
                <c:pt idx="6">
                  <c:v>6.2977356339706719E-2</c:v>
                </c:pt>
                <c:pt idx="7">
                  <c:v>5.3267008653298101E-2</c:v>
                </c:pt>
                <c:pt idx="8">
                  <c:v>5.4241152391315613E-2</c:v>
                </c:pt>
                <c:pt idx="9">
                  <c:v>4.7256334525104929E-2</c:v>
                </c:pt>
                <c:pt idx="10">
                  <c:v>6.7765169179750243E-2</c:v>
                </c:pt>
                <c:pt idx="11">
                  <c:v>5.601326493600705E-2</c:v>
                </c:pt>
                <c:pt idx="12">
                  <c:v>4.9152805844862431E-2</c:v>
                </c:pt>
                <c:pt idx="13">
                  <c:v>3.6136587387947561E-2</c:v>
                </c:pt>
                <c:pt idx="14">
                  <c:v>4.7225244831338414E-2</c:v>
                </c:pt>
                <c:pt idx="15">
                  <c:v>2.024975387325768E-2</c:v>
                </c:pt>
                <c:pt idx="16">
                  <c:v>1.6259909839888079E-2</c:v>
                </c:pt>
                <c:pt idx="17">
                  <c:v>2.409451266905021E-2</c:v>
                </c:pt>
                <c:pt idx="18">
                  <c:v>2.2156588424270686E-2</c:v>
                </c:pt>
                <c:pt idx="19">
                  <c:v>4.8914451525985799E-3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95E-4E22-AD26-8EA12EA6FC0E}"/>
            </c:ext>
          </c:extLst>
        </c:ser>
        <c:ser>
          <c:idx val="6"/>
          <c:order val="6"/>
          <c:tx>
            <c:strRef>
              <c:f>varicella16_relative!$A$8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varicella16_relative!$B$1:$U$1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varicella16_relative!$B$8:$U$8</c:f>
              <c:numCache>
                <c:formatCode>General</c:formatCode>
                <c:ptCount val="20"/>
                <c:pt idx="0">
                  <c:v>5.8790610912482513E-2</c:v>
                </c:pt>
                <c:pt idx="1">
                  <c:v>5.0323850976734544E-2</c:v>
                </c:pt>
                <c:pt idx="2">
                  <c:v>5.3349914503342144E-2</c:v>
                </c:pt>
                <c:pt idx="3">
                  <c:v>3.9515000777242341E-2</c:v>
                </c:pt>
                <c:pt idx="4">
                  <c:v>4.4696616404995081E-2</c:v>
                </c:pt>
                <c:pt idx="5">
                  <c:v>4.2665423078916007E-2</c:v>
                </c:pt>
                <c:pt idx="6">
                  <c:v>4.2820871547748586E-2</c:v>
                </c:pt>
                <c:pt idx="7">
                  <c:v>3.6437121094357219E-2</c:v>
                </c:pt>
                <c:pt idx="8">
                  <c:v>3.9276646458365719E-2</c:v>
                </c:pt>
                <c:pt idx="9">
                  <c:v>3.3162340017617496E-2</c:v>
                </c:pt>
                <c:pt idx="10">
                  <c:v>4.6872894968651227E-2</c:v>
                </c:pt>
                <c:pt idx="11">
                  <c:v>4.2033265972330175E-2</c:v>
                </c:pt>
                <c:pt idx="12">
                  <c:v>3.5856780144048916E-2</c:v>
                </c:pt>
                <c:pt idx="13">
                  <c:v>2.6623141095393543E-2</c:v>
                </c:pt>
                <c:pt idx="14">
                  <c:v>3.6913829732110472E-2</c:v>
                </c:pt>
                <c:pt idx="15">
                  <c:v>1.5824654127156848E-2</c:v>
                </c:pt>
                <c:pt idx="16">
                  <c:v>1.4570703145240687E-2</c:v>
                </c:pt>
                <c:pt idx="17">
                  <c:v>2.2001139955438107E-2</c:v>
                </c:pt>
                <c:pt idx="18">
                  <c:v>2.5265557800922326E-2</c:v>
                </c:pt>
                <c:pt idx="19">
                  <c:v>1.6736618477641328E-2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95E-4E22-AD26-8EA12EA6FC0E}"/>
            </c:ext>
          </c:extLst>
        </c:ser>
        <c:ser>
          <c:idx val="7"/>
          <c:order val="7"/>
          <c:tx>
            <c:strRef>
              <c:f>varicella16_relative!$A$9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varicella16_relative!$B$1:$U$1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varicella16_relative!$B$9:$U$9</c:f>
              <c:numCache>
                <c:formatCode>General</c:formatCode>
                <c:ptCount val="20"/>
                <c:pt idx="0">
                  <c:v>3.7856883776361469E-2</c:v>
                </c:pt>
                <c:pt idx="1">
                  <c:v>2.9949738328410799E-2</c:v>
                </c:pt>
                <c:pt idx="2">
                  <c:v>3.0758070366340224E-2</c:v>
                </c:pt>
                <c:pt idx="3">
                  <c:v>2.4363956681693354E-2</c:v>
                </c:pt>
                <c:pt idx="4">
                  <c:v>2.5203378413389294E-2</c:v>
                </c:pt>
                <c:pt idx="5">
                  <c:v>2.4167055287838749E-2</c:v>
                </c:pt>
                <c:pt idx="6">
                  <c:v>2.4477952225503911E-2</c:v>
                </c:pt>
                <c:pt idx="7">
                  <c:v>2.0436292035856781E-2</c:v>
                </c:pt>
                <c:pt idx="8">
                  <c:v>2.2021866417949117E-2</c:v>
                </c:pt>
                <c:pt idx="9">
                  <c:v>1.8736722109953884E-2</c:v>
                </c:pt>
                <c:pt idx="10">
                  <c:v>2.6436602932794446E-2</c:v>
                </c:pt>
                <c:pt idx="11">
                  <c:v>2.4167055287838749E-2</c:v>
                </c:pt>
                <c:pt idx="12">
                  <c:v>2.2249857505570236E-2</c:v>
                </c:pt>
                <c:pt idx="13">
                  <c:v>1.6508627390020209E-2</c:v>
                </c:pt>
                <c:pt idx="14">
                  <c:v>2.2664386755790456E-2</c:v>
                </c:pt>
                <c:pt idx="15">
                  <c:v>1.1565366081144101E-2</c:v>
                </c:pt>
                <c:pt idx="16">
                  <c:v>1.0249235711694907E-2</c:v>
                </c:pt>
                <c:pt idx="17">
                  <c:v>2.0374112648323749E-2</c:v>
                </c:pt>
                <c:pt idx="18">
                  <c:v>2.6322607388983885E-2</c:v>
                </c:pt>
                <c:pt idx="19">
                  <c:v>2.4073786206539199E-2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95E-4E22-AD26-8EA12EA6FC0E}"/>
            </c:ext>
          </c:extLst>
        </c:ser>
        <c:ser>
          <c:idx val="8"/>
          <c:order val="8"/>
          <c:tx>
            <c:strRef>
              <c:f>varicella16_relative!$A$10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varicella16_relative!$B$1:$U$1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varicella16_relative!$B$10:$U$10</c:f>
              <c:numCache>
                <c:formatCode>General</c:formatCode>
                <c:ptCount val="20"/>
                <c:pt idx="0">
                  <c:v>2.5421006269754909E-2</c:v>
                </c:pt>
                <c:pt idx="1">
                  <c:v>2.091300067361003E-2</c:v>
                </c:pt>
                <c:pt idx="2">
                  <c:v>2.2726566143323489E-2</c:v>
                </c:pt>
                <c:pt idx="3">
                  <c:v>1.5783201202134826E-2</c:v>
                </c:pt>
                <c:pt idx="4">
                  <c:v>1.6819524327685371E-2</c:v>
                </c:pt>
                <c:pt idx="5">
                  <c:v>1.5171770558060004E-2</c:v>
                </c:pt>
                <c:pt idx="6">
                  <c:v>1.6384268614954144E-2</c:v>
                </c:pt>
                <c:pt idx="7">
                  <c:v>1.4125084201253951E-2</c:v>
                </c:pt>
                <c:pt idx="8">
                  <c:v>1.3140577231980931E-2</c:v>
                </c:pt>
                <c:pt idx="9">
                  <c:v>1.1067930980879838E-2</c:v>
                </c:pt>
                <c:pt idx="10">
                  <c:v>1.6674439090108295E-2</c:v>
                </c:pt>
                <c:pt idx="11">
                  <c:v>1.620809368361055E-2</c:v>
                </c:pt>
                <c:pt idx="12">
                  <c:v>1.7171874190372558E-2</c:v>
                </c:pt>
                <c:pt idx="13">
                  <c:v>1.2632778900461163E-2</c:v>
                </c:pt>
                <c:pt idx="14">
                  <c:v>1.4705425151562257E-2</c:v>
                </c:pt>
                <c:pt idx="15">
                  <c:v>7.3371677288978704E-3</c:v>
                </c:pt>
                <c:pt idx="16">
                  <c:v>6.9537281724441685E-3</c:v>
                </c:pt>
                <c:pt idx="17">
                  <c:v>1.6425721539976165E-2</c:v>
                </c:pt>
                <c:pt idx="18">
                  <c:v>2.0498471423389814E-2</c:v>
                </c:pt>
                <c:pt idx="19">
                  <c:v>1.9213430747707136E-2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95E-4E22-AD26-8EA12EA6FC0E}"/>
            </c:ext>
          </c:extLst>
        </c:ser>
        <c:ser>
          <c:idx val="9"/>
          <c:order val="9"/>
          <c:tx>
            <c:strRef>
              <c:f>varicella16_relative!$A$11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varicella16_relative!$B$1:$U$1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varicella16_relative!$B$11:$U$11</c:f>
              <c:numCache>
                <c:formatCode>General</c:formatCode>
                <c:ptCount val="20"/>
                <c:pt idx="0">
                  <c:v>1.8809264728742423E-2</c:v>
                </c:pt>
                <c:pt idx="1">
                  <c:v>1.5493030726980673E-2</c:v>
                </c:pt>
                <c:pt idx="2">
                  <c:v>1.6353178921187626E-2</c:v>
                </c:pt>
                <c:pt idx="3">
                  <c:v>1.1254469143478937E-2</c:v>
                </c:pt>
                <c:pt idx="4">
                  <c:v>1.1720814549976684E-2</c:v>
                </c:pt>
                <c:pt idx="5">
                  <c:v>1.0622312036893103E-2</c:v>
                </c:pt>
                <c:pt idx="6">
                  <c:v>1.2415151044095549E-2</c:v>
                </c:pt>
                <c:pt idx="7">
                  <c:v>8.3320379294263957E-3</c:v>
                </c:pt>
                <c:pt idx="8">
                  <c:v>9.2232758173998661E-3</c:v>
                </c:pt>
                <c:pt idx="9">
                  <c:v>6.7050106223120369E-3</c:v>
                </c:pt>
                <c:pt idx="10">
                  <c:v>1.0757034043214674E-2</c:v>
                </c:pt>
                <c:pt idx="11">
                  <c:v>1.1067930980879838E-2</c:v>
                </c:pt>
                <c:pt idx="12">
                  <c:v>1.0808850199492202E-2</c:v>
                </c:pt>
                <c:pt idx="13">
                  <c:v>8.1247733043162858E-3</c:v>
                </c:pt>
                <c:pt idx="14">
                  <c:v>1.0342504792994455E-2</c:v>
                </c:pt>
                <c:pt idx="15">
                  <c:v>5.388880252862843E-3</c:v>
                </c:pt>
                <c:pt idx="16">
                  <c:v>4.2800145085237573E-3</c:v>
                </c:pt>
                <c:pt idx="17">
                  <c:v>1.0466863568060522E-2</c:v>
                </c:pt>
                <c:pt idx="18">
                  <c:v>1.5016322089227421E-2</c:v>
                </c:pt>
                <c:pt idx="19">
                  <c:v>1.4715788382817762E-2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95E-4E22-AD26-8EA12EA6FC0E}"/>
            </c:ext>
          </c:extLst>
        </c:ser>
        <c:ser>
          <c:idx val="10"/>
          <c:order val="10"/>
          <c:tx>
            <c:strRef>
              <c:f>varicella16_relative!$A$12</c:f>
              <c:strCache>
                <c:ptCount val="1"/>
                <c:pt idx="0">
                  <c:v>10-14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varicella16_relative!$B$1:$U$1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varicella16_relative!$B$12:$U$12</c:f>
              <c:numCache>
                <c:formatCode>General</c:formatCode>
                <c:ptCount val="20"/>
                <c:pt idx="0">
                  <c:v>3.7504533913674282E-2</c:v>
                </c:pt>
                <c:pt idx="1">
                  <c:v>3.5576972900150265E-2</c:v>
                </c:pt>
                <c:pt idx="2">
                  <c:v>3.947354785222032E-2</c:v>
                </c:pt>
                <c:pt idx="3">
                  <c:v>2.9669931084512151E-2</c:v>
                </c:pt>
                <c:pt idx="4">
                  <c:v>3.1037877610238872E-2</c:v>
                </c:pt>
                <c:pt idx="5">
                  <c:v>2.65402352453495E-2</c:v>
                </c:pt>
                <c:pt idx="6">
                  <c:v>2.5472822426032438E-2</c:v>
                </c:pt>
                <c:pt idx="7">
                  <c:v>2.0425928804601274E-2</c:v>
                </c:pt>
                <c:pt idx="8">
                  <c:v>2.0840458054821494E-2</c:v>
                </c:pt>
                <c:pt idx="9">
                  <c:v>1.6477537696253691E-2</c:v>
                </c:pt>
                <c:pt idx="10">
                  <c:v>2.0539924348411835E-2</c:v>
                </c:pt>
                <c:pt idx="11">
                  <c:v>2.3078916006010673E-2</c:v>
                </c:pt>
                <c:pt idx="12">
                  <c:v>2.2540027980724391E-2</c:v>
                </c:pt>
                <c:pt idx="13">
                  <c:v>1.6943883102751439E-2</c:v>
                </c:pt>
                <c:pt idx="14">
                  <c:v>2.2685113218301467E-2</c:v>
                </c:pt>
                <c:pt idx="15">
                  <c:v>1.0269962174205918E-2</c:v>
                </c:pt>
                <c:pt idx="16">
                  <c:v>9.9279755427742374E-3</c:v>
                </c:pt>
                <c:pt idx="17">
                  <c:v>1.9907767241826E-2</c:v>
                </c:pt>
                <c:pt idx="18">
                  <c:v>2.8426343333851495E-2</c:v>
                </c:pt>
                <c:pt idx="19">
                  <c:v>2.7711280377221616E-2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95E-4E22-AD26-8EA12EA6FC0E}"/>
            </c:ext>
          </c:extLst>
        </c:ser>
        <c:ser>
          <c:idx val="11"/>
          <c:order val="11"/>
          <c:tx>
            <c:strRef>
              <c:f>varicella16_relative!$A$13</c:f>
              <c:strCache>
                <c:ptCount val="1"/>
                <c:pt idx="0">
                  <c:v>15-19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varicella16_relative!$B$1:$U$1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varicella16_relative!$B$13:$U$13</c:f>
              <c:numCache>
                <c:formatCode>General</c:formatCode>
                <c:ptCount val="20"/>
                <c:pt idx="0">
                  <c:v>6.1661225970257531E-3</c:v>
                </c:pt>
                <c:pt idx="1">
                  <c:v>6.6946473910565315E-3</c:v>
                </c:pt>
                <c:pt idx="2">
                  <c:v>7.3889838851753974E-3</c:v>
                </c:pt>
                <c:pt idx="3">
                  <c:v>6.1039432094927197E-3</c:v>
                </c:pt>
                <c:pt idx="4">
                  <c:v>6.756826778589564E-3</c:v>
                </c:pt>
                <c:pt idx="5">
                  <c:v>5.8344991968495774E-3</c:v>
                </c:pt>
                <c:pt idx="6">
                  <c:v>6.7153738535675423E-3</c:v>
                </c:pt>
                <c:pt idx="7">
                  <c:v>4.7463599150215034E-3</c:v>
                </c:pt>
                <c:pt idx="8">
                  <c:v>5.0054406964091403E-3</c:v>
                </c:pt>
                <c:pt idx="9">
                  <c:v>4.5080055961448781E-3</c:v>
                </c:pt>
                <c:pt idx="10">
                  <c:v>4.8603554588320637E-3</c:v>
                </c:pt>
                <c:pt idx="11">
                  <c:v>4.8914451525985799E-3</c:v>
                </c:pt>
                <c:pt idx="12">
                  <c:v>4.922534846365097E-3</c:v>
                </c:pt>
                <c:pt idx="13">
                  <c:v>3.2126016892066946E-3</c:v>
                </c:pt>
                <c:pt idx="14">
                  <c:v>4.0209337271361213E-3</c:v>
                </c:pt>
                <c:pt idx="15">
                  <c:v>1.689206694647391E-3</c:v>
                </c:pt>
                <c:pt idx="16">
                  <c:v>1.2850406756826779E-3</c:v>
                </c:pt>
                <c:pt idx="17">
                  <c:v>2.5286284263433337E-3</c:v>
                </c:pt>
                <c:pt idx="18">
                  <c:v>3.1918752266956838E-3</c:v>
                </c:pt>
                <c:pt idx="19">
                  <c:v>2.9535209078190581E-3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95E-4E22-AD26-8EA12EA6FC0E}"/>
            </c:ext>
          </c:extLst>
        </c:ser>
        <c:ser>
          <c:idx val="12"/>
          <c:order val="12"/>
          <c:tx>
            <c:strRef>
              <c:f>varicella16_relative!$A$14</c:f>
              <c:strCache>
                <c:ptCount val="1"/>
                <c:pt idx="0">
                  <c:v>20+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varicella16_relative!$B$1:$U$1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varicella16_relative!$B$14:$U$14</c:f>
              <c:numCache>
                <c:formatCode>General</c:formatCode>
                <c:ptCount val="20"/>
                <c:pt idx="0">
                  <c:v>1.5461941033214157E-2</c:v>
                </c:pt>
                <c:pt idx="1">
                  <c:v>1.4695061920306752E-2</c:v>
                </c:pt>
                <c:pt idx="2">
                  <c:v>1.3606922638478678E-2</c:v>
                </c:pt>
                <c:pt idx="3">
                  <c:v>1.0218146017928391E-2</c:v>
                </c:pt>
                <c:pt idx="4">
                  <c:v>1.0611948805637598E-2</c:v>
                </c:pt>
                <c:pt idx="5">
                  <c:v>9.2440022799108769E-3</c:v>
                </c:pt>
                <c:pt idx="6">
                  <c:v>1.0456500336805015E-2</c:v>
                </c:pt>
                <c:pt idx="7">
                  <c:v>8.2905850044043741E-3</c:v>
                </c:pt>
                <c:pt idx="8">
                  <c:v>7.3889838851753974E-3</c:v>
                </c:pt>
                <c:pt idx="9">
                  <c:v>6.3630239908803567E-3</c:v>
                </c:pt>
                <c:pt idx="10">
                  <c:v>6.5910150785014766E-3</c:v>
                </c:pt>
                <c:pt idx="11">
                  <c:v>6.6635576972900153E-3</c:v>
                </c:pt>
                <c:pt idx="12">
                  <c:v>6.4148401471578837E-3</c:v>
                </c:pt>
                <c:pt idx="13">
                  <c:v>4.3318306648012853E-3</c:v>
                </c:pt>
                <c:pt idx="14">
                  <c:v>5.3163376340743043E-3</c:v>
                </c:pt>
                <c:pt idx="15">
                  <c:v>3.0157002953520909E-3</c:v>
                </c:pt>
                <c:pt idx="16">
                  <c:v>2.3835431887662575E-3</c:v>
                </c:pt>
                <c:pt idx="17">
                  <c:v>3.3680501580392766E-3</c:v>
                </c:pt>
                <c:pt idx="18">
                  <c:v>2.8913415202860252E-3</c:v>
                </c:pt>
                <c:pt idx="19">
                  <c:v>2.4664490388103012E-3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95E-4E22-AD26-8EA12EA6F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048048"/>
        <c:axId val="98050928"/>
      </c:barChart>
      <c:catAx>
        <c:axId val="9804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98050928"/>
        <c:crosses val="autoZero"/>
        <c:auto val="1"/>
        <c:lblAlgn val="ctr"/>
        <c:lblOffset val="100"/>
        <c:noMultiLvlLbl val="0"/>
      </c:catAx>
      <c:valAx>
        <c:axId val="9805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9804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18</xdr:row>
      <xdr:rowOff>63500</xdr:rowOff>
    </xdr:from>
    <xdr:to>
      <xdr:col>13</xdr:col>
      <xdr:colOff>107950</xdr:colOff>
      <xdr:row>39</xdr:row>
      <xdr:rowOff>88900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42D8B169-CBBF-B1DC-5993-76F1901F67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136524</xdr:colOff>
      <xdr:row>40</xdr:row>
      <xdr:rowOff>12700</xdr:rowOff>
    </xdr:from>
    <xdr:to>
      <xdr:col>13</xdr:col>
      <xdr:colOff>95249</xdr:colOff>
      <xdr:row>59</xdr:row>
      <xdr:rowOff>63500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E530DCD5-8ABE-CCAD-66DD-DA75F6FC79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136524</xdr:colOff>
      <xdr:row>60</xdr:row>
      <xdr:rowOff>19050</xdr:rowOff>
    </xdr:from>
    <xdr:to>
      <xdr:col>13</xdr:col>
      <xdr:colOff>120649</xdr:colOff>
      <xdr:row>81</xdr:row>
      <xdr:rowOff>120650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8872285C-4967-2512-A394-90B172760D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142874</xdr:colOff>
      <xdr:row>82</xdr:row>
      <xdr:rowOff>50800</xdr:rowOff>
    </xdr:from>
    <xdr:to>
      <xdr:col>13</xdr:col>
      <xdr:colOff>95249</xdr:colOff>
      <xdr:row>100</xdr:row>
      <xdr:rowOff>44450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5276F67D-F59C-72A1-287F-22A3C744C7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136525</xdr:colOff>
      <xdr:row>18</xdr:row>
      <xdr:rowOff>69850</xdr:rowOff>
    </xdr:from>
    <xdr:to>
      <xdr:col>9</xdr:col>
      <xdr:colOff>441325</xdr:colOff>
      <xdr:row>33</xdr:row>
      <xdr:rowOff>50800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B3A6455B-56E0-ED5E-B66D-4F1E79AB57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561975</xdr:colOff>
      <xdr:row>18</xdr:row>
      <xdr:rowOff>127000</xdr:rowOff>
    </xdr:from>
    <xdr:to>
      <xdr:col>17</xdr:col>
      <xdr:colOff>257175</xdr:colOff>
      <xdr:row>33</xdr:row>
      <xdr:rowOff>107950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6B6CFFB1-3C28-84A0-56E3-8459CF49FD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9525</xdr:colOff>
      <xdr:row>18</xdr:row>
      <xdr:rowOff>25400</xdr:rowOff>
    </xdr:from>
    <xdr:to>
      <xdr:col>25</xdr:col>
      <xdr:colOff>314325</xdr:colOff>
      <xdr:row>33</xdr:row>
      <xdr:rowOff>6350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B385995C-10A2-B15D-0BA0-BE4C716957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73025</xdr:colOff>
      <xdr:row>34</xdr:row>
      <xdr:rowOff>63500</xdr:rowOff>
    </xdr:from>
    <xdr:to>
      <xdr:col>9</xdr:col>
      <xdr:colOff>377825</xdr:colOff>
      <xdr:row>49</xdr:row>
      <xdr:rowOff>44450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1E9EF22B-7D69-404F-A4A1-C67B8AB593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111125</xdr:colOff>
      <xdr:row>33</xdr:row>
      <xdr:rowOff>171450</xdr:rowOff>
    </xdr:from>
    <xdr:to>
      <xdr:col>17</xdr:col>
      <xdr:colOff>415925</xdr:colOff>
      <xdr:row>48</xdr:row>
      <xdr:rowOff>152400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B59E75D5-49AC-56D4-D719-12B0E29849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250824</xdr:colOff>
      <xdr:row>50</xdr:row>
      <xdr:rowOff>31750</xdr:rowOff>
    </xdr:from>
    <xdr:to>
      <xdr:col>14</xdr:col>
      <xdr:colOff>196849</xdr:colOff>
      <xdr:row>70</xdr:row>
      <xdr:rowOff>25400</xdr:rowOff>
    </xdr:to>
    <xdr:graphicFrame macro="">
      <xdr:nvGraphicFramePr>
        <xdr:cNvPr id="8" name="Diagram 7">
          <a:extLst>
            <a:ext uri="{FF2B5EF4-FFF2-40B4-BE49-F238E27FC236}">
              <a16:creationId xmlns:a16="http://schemas.microsoft.com/office/drawing/2014/main" id="{0F13D720-6517-0754-5B84-8A5778031D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377825</xdr:colOff>
      <xdr:row>14</xdr:row>
      <xdr:rowOff>127000</xdr:rowOff>
    </xdr:from>
    <xdr:to>
      <xdr:col>8</xdr:col>
      <xdr:colOff>73025</xdr:colOff>
      <xdr:row>29</xdr:row>
      <xdr:rowOff>107950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CBDA79-CD0D-F489-0CF9-CFB212826F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320675</xdr:colOff>
      <xdr:row>14</xdr:row>
      <xdr:rowOff>127000</xdr:rowOff>
    </xdr:from>
    <xdr:to>
      <xdr:col>16</xdr:col>
      <xdr:colOff>15875</xdr:colOff>
      <xdr:row>29</xdr:row>
      <xdr:rowOff>107950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B7974378-9575-039D-9950-205BA1C644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511174</xdr:colOff>
      <xdr:row>30</xdr:row>
      <xdr:rowOff>31750</xdr:rowOff>
    </xdr:from>
    <xdr:to>
      <xdr:col>14</xdr:col>
      <xdr:colOff>25400</xdr:colOff>
      <xdr:row>52</xdr:row>
      <xdr:rowOff>38100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0A50A8DC-5429-C0FD-9C1B-2E2A31D447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URITA\PycharmProjects\PythonProject\counterfactual-analysis-vzv\resources\age_structured_population.xlsx" TargetMode="External"/><Relationship Id="rId1" Type="http://schemas.openxmlformats.org/officeDocument/2006/relationships/externalLinkPath" Target="age_structured_popu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pulation"/>
      <sheetName val="population11"/>
      <sheetName val="population16"/>
      <sheetName val="population2005-2024"/>
    </sheetNames>
    <sheetDataSet>
      <sheetData sheetId="0"/>
      <sheetData sheetId="1"/>
      <sheetData sheetId="2"/>
      <sheetData sheetId="3">
        <row r="2">
          <cell r="B2">
            <v>96495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workbookViewId="0">
      <selection activeCell="A15" sqref="A15:XFD15"/>
    </sheetView>
  </sheetViews>
  <sheetFormatPr defaultRowHeight="14.5"/>
  <sheetData>
    <row r="1" spans="1:21">
      <c r="A1" s="1"/>
      <c r="B1" s="1">
        <v>2005</v>
      </c>
      <c r="C1" s="2">
        <v>2006</v>
      </c>
      <c r="D1" s="1">
        <v>2007</v>
      </c>
      <c r="E1" s="2">
        <v>2008</v>
      </c>
      <c r="F1" s="1">
        <v>2009</v>
      </c>
      <c r="G1" s="2">
        <v>2010</v>
      </c>
      <c r="H1" s="1">
        <v>2011</v>
      </c>
      <c r="I1" s="2">
        <v>2012</v>
      </c>
      <c r="J1" s="2">
        <v>2013</v>
      </c>
      <c r="K1" s="2">
        <v>2014</v>
      </c>
      <c r="L1" s="3">
        <v>2015</v>
      </c>
      <c r="M1" s="2">
        <v>2016</v>
      </c>
      <c r="N1" s="3">
        <v>2017</v>
      </c>
      <c r="O1" s="2">
        <v>2018</v>
      </c>
      <c r="P1" s="3">
        <v>2019</v>
      </c>
      <c r="Q1" s="2">
        <v>2020</v>
      </c>
      <c r="R1" s="3">
        <v>2021</v>
      </c>
      <c r="S1" s="2">
        <v>2022</v>
      </c>
      <c r="T1" s="3">
        <v>2023</v>
      </c>
      <c r="U1" s="2">
        <v>2024</v>
      </c>
    </row>
    <row r="2" spans="1:21">
      <c r="A2">
        <v>0</v>
      </c>
      <c r="B2" s="8">
        <v>1815</v>
      </c>
      <c r="C2" s="8">
        <v>1579</v>
      </c>
      <c r="D2" s="8">
        <v>1633</v>
      </c>
      <c r="E2" s="8">
        <v>1203</v>
      </c>
      <c r="F2" s="8">
        <v>1443</v>
      </c>
      <c r="G2" s="8">
        <v>1320</v>
      </c>
      <c r="H2" s="4">
        <v>1245</v>
      </c>
      <c r="I2" s="4">
        <v>1070</v>
      </c>
      <c r="J2" s="5">
        <v>1252</v>
      </c>
      <c r="K2" s="6">
        <v>1052</v>
      </c>
      <c r="L2" s="6">
        <v>1577</v>
      </c>
      <c r="M2" s="6">
        <v>1518</v>
      </c>
      <c r="N2" s="6">
        <v>1343</v>
      </c>
      <c r="O2" s="6">
        <v>948</v>
      </c>
      <c r="P2" s="9">
        <v>1276</v>
      </c>
      <c r="Q2" s="6">
        <v>703</v>
      </c>
      <c r="R2" s="6">
        <v>524</v>
      </c>
      <c r="S2" s="6">
        <v>602</v>
      </c>
      <c r="T2" s="6">
        <v>568</v>
      </c>
      <c r="U2" s="6">
        <v>467</v>
      </c>
    </row>
    <row r="3" spans="1:21">
      <c r="A3">
        <v>1</v>
      </c>
      <c r="B3" s="8">
        <v>2850</v>
      </c>
      <c r="C3" s="8">
        <v>2515</v>
      </c>
      <c r="D3" s="8">
        <v>2660</v>
      </c>
      <c r="E3" s="8">
        <v>2034</v>
      </c>
      <c r="F3" s="8">
        <v>2397</v>
      </c>
      <c r="G3" s="8">
        <v>2312</v>
      </c>
      <c r="H3" s="4">
        <v>2342</v>
      </c>
      <c r="I3" s="4">
        <v>1700</v>
      </c>
      <c r="J3" s="5">
        <v>1988</v>
      </c>
      <c r="K3" s="6">
        <v>1662</v>
      </c>
      <c r="L3" s="6">
        <v>2581</v>
      </c>
      <c r="M3" s="6">
        <v>2473</v>
      </c>
      <c r="N3" s="6">
        <v>1984</v>
      </c>
      <c r="O3" s="6">
        <v>1418</v>
      </c>
      <c r="P3" s="6">
        <v>1696</v>
      </c>
      <c r="Q3" s="9">
        <v>563</v>
      </c>
      <c r="R3" s="6">
        <v>205</v>
      </c>
      <c r="S3" s="6">
        <v>310</v>
      </c>
      <c r="T3" s="6">
        <v>247</v>
      </c>
      <c r="U3" s="6">
        <v>141</v>
      </c>
    </row>
    <row r="4" spans="1:21">
      <c r="A4">
        <v>2</v>
      </c>
      <c r="B4" s="8">
        <v>3839</v>
      </c>
      <c r="C4" s="8">
        <v>3352</v>
      </c>
      <c r="D4" s="8">
        <v>3601</v>
      </c>
      <c r="E4" s="8">
        <v>2784</v>
      </c>
      <c r="F4" s="8">
        <v>3155</v>
      </c>
      <c r="G4" s="8">
        <v>3086</v>
      </c>
      <c r="H4" s="4">
        <v>3436</v>
      </c>
      <c r="I4" s="4">
        <v>2639</v>
      </c>
      <c r="J4" s="5">
        <v>2665</v>
      </c>
      <c r="K4" s="6">
        <v>2308</v>
      </c>
      <c r="L4" s="6">
        <v>3747</v>
      </c>
      <c r="M4" s="6">
        <v>3210</v>
      </c>
      <c r="N4" s="6">
        <v>2685</v>
      </c>
      <c r="O4" s="6">
        <v>1824</v>
      </c>
      <c r="P4" s="6">
        <v>2205</v>
      </c>
      <c r="Q4" s="6">
        <v>995</v>
      </c>
      <c r="R4" s="9">
        <v>210</v>
      </c>
      <c r="S4" s="6">
        <v>101</v>
      </c>
      <c r="T4" s="6">
        <v>93</v>
      </c>
      <c r="U4" s="6">
        <v>57</v>
      </c>
    </row>
    <row r="5" spans="1:21">
      <c r="A5">
        <v>3</v>
      </c>
      <c r="B5" s="8">
        <v>7978</v>
      </c>
      <c r="C5" s="8">
        <v>7278</v>
      </c>
      <c r="D5" s="8">
        <v>7410</v>
      </c>
      <c r="E5" s="8">
        <v>5672</v>
      </c>
      <c r="F5" s="8">
        <v>6618</v>
      </c>
      <c r="G5" s="8">
        <v>6703</v>
      </c>
      <c r="H5" s="4">
        <v>6657</v>
      </c>
      <c r="I5" s="4">
        <v>5740</v>
      </c>
      <c r="J5" s="5">
        <v>5792</v>
      </c>
      <c r="K5" s="6">
        <v>4713</v>
      </c>
      <c r="L5" s="6">
        <v>6992</v>
      </c>
      <c r="M5" s="6">
        <v>6336</v>
      </c>
      <c r="N5" s="6">
        <v>5282</v>
      </c>
      <c r="O5" s="6">
        <v>3937</v>
      </c>
      <c r="P5" s="6">
        <v>4431</v>
      </c>
      <c r="Q5" s="6">
        <v>1921</v>
      </c>
      <c r="R5" s="6">
        <v>1163</v>
      </c>
      <c r="S5" s="9">
        <v>629</v>
      </c>
      <c r="T5" s="6">
        <v>145</v>
      </c>
      <c r="U5" s="6">
        <v>88</v>
      </c>
    </row>
    <row r="6" spans="1:21">
      <c r="A6">
        <v>4</v>
      </c>
      <c r="B6" s="8">
        <v>8954</v>
      </c>
      <c r="C6" s="8">
        <v>8128</v>
      </c>
      <c r="D6" s="8">
        <v>8195</v>
      </c>
      <c r="E6" s="8">
        <v>6207</v>
      </c>
      <c r="F6" s="8">
        <v>6978</v>
      </c>
      <c r="G6" s="8">
        <v>7118</v>
      </c>
      <c r="H6" s="4">
        <v>7244</v>
      </c>
      <c r="I6" s="4">
        <v>6281</v>
      </c>
      <c r="J6" s="5">
        <v>6387</v>
      </c>
      <c r="K6" s="6">
        <v>5225</v>
      </c>
      <c r="L6" s="6">
        <v>7376</v>
      </c>
      <c r="M6" s="6">
        <v>6539</v>
      </c>
      <c r="N6" s="6">
        <v>5779</v>
      </c>
      <c r="O6" s="6">
        <v>4034</v>
      </c>
      <c r="P6" s="6">
        <v>4981</v>
      </c>
      <c r="Q6" s="6">
        <v>2148</v>
      </c>
      <c r="R6" s="6">
        <v>1554</v>
      </c>
      <c r="S6" s="6">
        <v>2055</v>
      </c>
      <c r="T6" s="9">
        <v>651</v>
      </c>
      <c r="U6" s="6">
        <v>114</v>
      </c>
    </row>
    <row r="7" spans="1:21">
      <c r="A7">
        <v>5</v>
      </c>
      <c r="B7" s="8">
        <v>7872</v>
      </c>
      <c r="C7" s="8">
        <v>6764</v>
      </c>
      <c r="D7" s="8">
        <v>7092</v>
      </c>
      <c r="E7" s="8">
        <v>5301</v>
      </c>
      <c r="F7" s="8">
        <v>5699</v>
      </c>
      <c r="G7" s="8">
        <v>6109</v>
      </c>
      <c r="H7" s="4">
        <v>6077</v>
      </c>
      <c r="I7" s="4">
        <v>5140</v>
      </c>
      <c r="J7" s="5">
        <v>5234</v>
      </c>
      <c r="K7" s="6">
        <v>4560</v>
      </c>
      <c r="L7" s="6">
        <v>6539</v>
      </c>
      <c r="M7" s="6">
        <v>5405</v>
      </c>
      <c r="N7" s="6">
        <v>4743</v>
      </c>
      <c r="O7" s="6">
        <v>3487</v>
      </c>
      <c r="P7" s="6">
        <v>4557</v>
      </c>
      <c r="Q7" s="6">
        <v>1954</v>
      </c>
      <c r="R7" s="6">
        <v>1569</v>
      </c>
      <c r="S7" s="6">
        <v>2325</v>
      </c>
      <c r="T7" s="6">
        <v>2138</v>
      </c>
      <c r="U7" s="9">
        <v>472</v>
      </c>
    </row>
    <row r="8" spans="1:21">
      <c r="A8">
        <v>6</v>
      </c>
      <c r="B8" s="8">
        <v>5673</v>
      </c>
      <c r="C8" s="8">
        <v>4856</v>
      </c>
      <c r="D8" s="8">
        <v>5148</v>
      </c>
      <c r="E8" s="8">
        <v>3813</v>
      </c>
      <c r="F8" s="8">
        <v>4313</v>
      </c>
      <c r="G8" s="8">
        <v>4117</v>
      </c>
      <c r="H8" s="4">
        <v>4132</v>
      </c>
      <c r="I8" s="4">
        <v>3516</v>
      </c>
      <c r="J8" s="5">
        <v>3790</v>
      </c>
      <c r="K8" s="6">
        <v>3200</v>
      </c>
      <c r="L8" s="6">
        <v>4523</v>
      </c>
      <c r="M8" s="6">
        <v>4056</v>
      </c>
      <c r="N8" s="6">
        <v>3460</v>
      </c>
      <c r="O8" s="6">
        <v>2569</v>
      </c>
      <c r="P8" s="6">
        <v>3562</v>
      </c>
      <c r="Q8" s="6">
        <v>1527</v>
      </c>
      <c r="R8" s="6">
        <v>1406</v>
      </c>
      <c r="S8" s="6">
        <v>2123</v>
      </c>
      <c r="T8" s="6">
        <v>2438</v>
      </c>
      <c r="U8" s="6">
        <v>1615</v>
      </c>
    </row>
    <row r="9" spans="1:21">
      <c r="A9">
        <v>7</v>
      </c>
      <c r="B9" s="8">
        <v>3653</v>
      </c>
      <c r="C9" s="8">
        <v>2890</v>
      </c>
      <c r="D9" s="8">
        <v>2968</v>
      </c>
      <c r="E9" s="8">
        <v>2351</v>
      </c>
      <c r="F9" s="8">
        <v>2432</v>
      </c>
      <c r="G9" s="8">
        <v>2332</v>
      </c>
      <c r="H9" s="4">
        <v>2362</v>
      </c>
      <c r="I9" s="4">
        <v>1972</v>
      </c>
      <c r="J9" s="5">
        <v>2125</v>
      </c>
      <c r="K9" s="6">
        <v>1808</v>
      </c>
      <c r="L9" s="6">
        <v>2551</v>
      </c>
      <c r="M9" s="6">
        <v>2332</v>
      </c>
      <c r="N9" s="6">
        <v>2147</v>
      </c>
      <c r="O9" s="6">
        <v>1593</v>
      </c>
      <c r="P9" s="6">
        <v>2187</v>
      </c>
      <c r="Q9" s="6">
        <v>1116</v>
      </c>
      <c r="R9" s="6">
        <v>989</v>
      </c>
      <c r="S9" s="6">
        <v>1966</v>
      </c>
      <c r="T9" s="6">
        <v>2540</v>
      </c>
      <c r="U9" s="6">
        <v>2323</v>
      </c>
    </row>
    <row r="10" spans="1:21">
      <c r="A10">
        <v>8</v>
      </c>
      <c r="B10" s="8">
        <v>2453</v>
      </c>
      <c r="C10" s="8">
        <v>2018</v>
      </c>
      <c r="D10" s="8">
        <v>2193</v>
      </c>
      <c r="E10" s="8">
        <v>1523</v>
      </c>
      <c r="F10" s="8">
        <v>1623</v>
      </c>
      <c r="G10" s="8">
        <v>1464</v>
      </c>
      <c r="H10" s="4">
        <v>1581</v>
      </c>
      <c r="I10" s="4">
        <v>1363</v>
      </c>
      <c r="J10" s="5">
        <v>1268</v>
      </c>
      <c r="K10" s="6">
        <v>1068</v>
      </c>
      <c r="L10" s="6">
        <v>1609</v>
      </c>
      <c r="M10" s="6">
        <v>1564</v>
      </c>
      <c r="N10" s="6">
        <v>1657</v>
      </c>
      <c r="O10" s="6">
        <v>1219</v>
      </c>
      <c r="P10" s="6">
        <v>1419</v>
      </c>
      <c r="Q10" s="6">
        <v>708</v>
      </c>
      <c r="R10" s="6">
        <v>671</v>
      </c>
      <c r="S10" s="6">
        <v>1585</v>
      </c>
      <c r="T10" s="6">
        <v>1978</v>
      </c>
      <c r="U10" s="6">
        <v>1854</v>
      </c>
    </row>
    <row r="11" spans="1:21">
      <c r="A11">
        <v>9</v>
      </c>
      <c r="B11" s="8">
        <v>1815</v>
      </c>
      <c r="C11" s="8">
        <v>1495</v>
      </c>
      <c r="D11" s="8">
        <v>1578</v>
      </c>
      <c r="E11" s="8">
        <v>1086</v>
      </c>
      <c r="F11" s="8">
        <v>1131</v>
      </c>
      <c r="G11" s="8">
        <v>1025</v>
      </c>
      <c r="H11" s="4">
        <v>1198</v>
      </c>
      <c r="I11" s="4">
        <v>804</v>
      </c>
      <c r="J11" s="5">
        <v>890</v>
      </c>
      <c r="K11" s="6">
        <v>647</v>
      </c>
      <c r="L11" s="6">
        <v>1038</v>
      </c>
      <c r="M11" s="6">
        <v>1068</v>
      </c>
      <c r="N11" s="6">
        <v>1043</v>
      </c>
      <c r="O11" s="6">
        <v>784</v>
      </c>
      <c r="P11" s="6">
        <v>998</v>
      </c>
      <c r="Q11" s="6">
        <v>520</v>
      </c>
      <c r="R11" s="6">
        <v>413</v>
      </c>
      <c r="S11" s="6">
        <v>1010</v>
      </c>
      <c r="T11" s="6">
        <v>1449</v>
      </c>
      <c r="U11" s="6">
        <v>1420</v>
      </c>
    </row>
    <row r="12" spans="1:21">
      <c r="A12" s="7" t="s">
        <v>0</v>
      </c>
      <c r="B12" s="8">
        <v>3619</v>
      </c>
      <c r="C12" s="8">
        <v>3433</v>
      </c>
      <c r="D12" s="8">
        <v>3809</v>
      </c>
      <c r="E12" s="8">
        <v>2863</v>
      </c>
      <c r="F12" s="8">
        <v>2995</v>
      </c>
      <c r="G12" s="8">
        <v>2561</v>
      </c>
      <c r="H12" s="4">
        <v>2458</v>
      </c>
      <c r="I12" s="4">
        <v>1971</v>
      </c>
      <c r="J12" s="5">
        <v>2011</v>
      </c>
      <c r="K12" s="6">
        <v>1590</v>
      </c>
      <c r="L12" s="6">
        <v>1982</v>
      </c>
      <c r="M12" s="6">
        <v>2227</v>
      </c>
      <c r="N12" s="6">
        <v>2175</v>
      </c>
      <c r="O12" s="6">
        <v>1635</v>
      </c>
      <c r="P12" s="6">
        <v>2189</v>
      </c>
      <c r="Q12" s="6">
        <v>991</v>
      </c>
      <c r="R12" s="6">
        <v>958</v>
      </c>
      <c r="S12" s="6">
        <v>1921</v>
      </c>
      <c r="T12" s="6">
        <v>2743</v>
      </c>
      <c r="U12" s="6">
        <v>2674</v>
      </c>
    </row>
    <row r="13" spans="1:21">
      <c r="A13" t="s">
        <v>1</v>
      </c>
      <c r="B13" s="8">
        <v>595</v>
      </c>
      <c r="C13" s="8">
        <v>646</v>
      </c>
      <c r="D13" s="8">
        <v>713</v>
      </c>
      <c r="E13" s="8">
        <v>589</v>
      </c>
      <c r="F13" s="8">
        <v>652</v>
      </c>
      <c r="G13" s="8">
        <v>563</v>
      </c>
      <c r="H13" s="4">
        <v>648</v>
      </c>
      <c r="I13" s="4">
        <v>458</v>
      </c>
      <c r="J13" s="5">
        <v>483</v>
      </c>
      <c r="K13" s="6">
        <v>435</v>
      </c>
      <c r="L13" s="6">
        <v>469</v>
      </c>
      <c r="M13" s="6">
        <v>472</v>
      </c>
      <c r="N13" s="6">
        <v>475</v>
      </c>
      <c r="O13" s="6">
        <v>310</v>
      </c>
      <c r="P13" s="6">
        <v>388</v>
      </c>
      <c r="Q13" s="6">
        <v>163</v>
      </c>
      <c r="R13" s="6">
        <v>124</v>
      </c>
      <c r="S13" s="6">
        <v>244</v>
      </c>
      <c r="T13" s="6">
        <v>308</v>
      </c>
      <c r="U13" s="6">
        <v>285</v>
      </c>
    </row>
    <row r="14" spans="1:21">
      <c r="A14" t="s">
        <v>2</v>
      </c>
      <c r="B14">
        <v>1492</v>
      </c>
      <c r="C14">
        <v>1418</v>
      </c>
      <c r="D14">
        <v>1313</v>
      </c>
      <c r="E14">
        <v>986</v>
      </c>
      <c r="F14">
        <v>1024</v>
      </c>
      <c r="G14">
        <v>892</v>
      </c>
      <c r="H14">
        <v>1009</v>
      </c>
      <c r="I14">
        <v>800</v>
      </c>
      <c r="J14">
        <v>713</v>
      </c>
      <c r="K14">
        <v>614</v>
      </c>
      <c r="L14">
        <v>636</v>
      </c>
      <c r="M14">
        <v>643</v>
      </c>
      <c r="N14">
        <v>619</v>
      </c>
      <c r="O14">
        <v>418</v>
      </c>
      <c r="P14">
        <v>513</v>
      </c>
      <c r="Q14">
        <v>291</v>
      </c>
      <c r="R14">
        <v>230</v>
      </c>
      <c r="S14">
        <v>325</v>
      </c>
      <c r="T14">
        <v>279</v>
      </c>
      <c r="U14">
        <v>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F2DAA-EBF3-4F93-ACD7-9931CB39301B}">
  <dimension ref="A1:U12"/>
  <sheetViews>
    <sheetView workbookViewId="0">
      <selection activeCell="B13" sqref="B13"/>
    </sheetView>
  </sheetViews>
  <sheetFormatPr defaultRowHeight="14.5"/>
  <sheetData>
    <row r="1" spans="1:21">
      <c r="A1" s="1"/>
      <c r="B1" s="1">
        <v>2005</v>
      </c>
      <c r="C1" s="2">
        <v>2006</v>
      </c>
      <c r="D1" s="1">
        <v>2007</v>
      </c>
      <c r="E1" s="2">
        <v>2008</v>
      </c>
      <c r="F1" s="1">
        <v>2009</v>
      </c>
      <c r="G1" s="2">
        <v>2010</v>
      </c>
      <c r="H1" s="1">
        <v>2011</v>
      </c>
      <c r="I1" s="2">
        <v>2012</v>
      </c>
      <c r="J1" s="2">
        <v>2013</v>
      </c>
      <c r="K1" s="2">
        <v>2014</v>
      </c>
      <c r="L1" s="3">
        <v>2015</v>
      </c>
      <c r="M1" s="2">
        <v>2016</v>
      </c>
      <c r="N1" s="3">
        <v>2017</v>
      </c>
      <c r="O1" s="2">
        <v>2018</v>
      </c>
      <c r="P1" s="3">
        <v>2019</v>
      </c>
      <c r="Q1" s="2">
        <v>2020</v>
      </c>
      <c r="R1" s="3">
        <v>2021</v>
      </c>
      <c r="S1" s="2">
        <v>2022</v>
      </c>
      <c r="T1" s="3">
        <v>2023</v>
      </c>
      <c r="U1" s="2">
        <v>2024</v>
      </c>
    </row>
    <row r="2" spans="1:21">
      <c r="A2">
        <v>0</v>
      </c>
      <c r="B2">
        <f>varicella!B2</f>
        <v>1815</v>
      </c>
      <c r="C2">
        <f>varicella!C2</f>
        <v>1579</v>
      </c>
      <c r="D2">
        <f>varicella!D2</f>
        <v>1633</v>
      </c>
      <c r="E2">
        <f>varicella!E2</f>
        <v>1203</v>
      </c>
      <c r="F2">
        <f>varicella!F2</f>
        <v>1443</v>
      </c>
      <c r="G2">
        <f>varicella!G2</f>
        <v>1320</v>
      </c>
      <c r="H2">
        <f>varicella!H2</f>
        <v>1245</v>
      </c>
      <c r="I2">
        <f>varicella!I2</f>
        <v>1070</v>
      </c>
      <c r="J2">
        <f>varicella!J2</f>
        <v>1252</v>
      </c>
      <c r="K2">
        <f>varicella!K2</f>
        <v>1052</v>
      </c>
      <c r="L2">
        <f>varicella!L2</f>
        <v>1577</v>
      </c>
      <c r="M2">
        <f>varicella!M2</f>
        <v>1518</v>
      </c>
      <c r="N2">
        <f>varicella!N2</f>
        <v>1343</v>
      </c>
      <c r="O2">
        <f>varicella!O2</f>
        <v>948</v>
      </c>
      <c r="P2">
        <f>varicella!P2</f>
        <v>1276</v>
      </c>
      <c r="Q2">
        <f>varicella!Q2</f>
        <v>703</v>
      </c>
      <c r="R2">
        <f>varicella!R2</f>
        <v>524</v>
      </c>
      <c r="S2">
        <f>varicella!S2</f>
        <v>602</v>
      </c>
      <c r="T2">
        <f>varicella!T2</f>
        <v>568</v>
      </c>
      <c r="U2">
        <f>varicella!U2</f>
        <v>467</v>
      </c>
    </row>
    <row r="3" spans="1:21">
      <c r="A3">
        <v>1</v>
      </c>
      <c r="B3">
        <f>varicella!B3</f>
        <v>2850</v>
      </c>
      <c r="C3">
        <f>varicella!C3</f>
        <v>2515</v>
      </c>
      <c r="D3">
        <f>varicella!D3</f>
        <v>2660</v>
      </c>
      <c r="E3">
        <f>varicella!E3</f>
        <v>2034</v>
      </c>
      <c r="F3">
        <f>varicella!F3</f>
        <v>2397</v>
      </c>
      <c r="G3">
        <f>varicella!G3</f>
        <v>2312</v>
      </c>
      <c r="H3">
        <f>varicella!H3</f>
        <v>2342</v>
      </c>
      <c r="I3">
        <f>varicella!I3</f>
        <v>1700</v>
      </c>
      <c r="J3">
        <f>varicella!J3</f>
        <v>1988</v>
      </c>
      <c r="K3">
        <f>varicella!K3</f>
        <v>1662</v>
      </c>
      <c r="L3">
        <f>varicella!L3</f>
        <v>2581</v>
      </c>
      <c r="M3">
        <f>varicella!M3</f>
        <v>2473</v>
      </c>
      <c r="N3">
        <f>varicella!N3</f>
        <v>1984</v>
      </c>
      <c r="O3">
        <f>varicella!O3</f>
        <v>1418</v>
      </c>
      <c r="P3">
        <f>varicella!P3</f>
        <v>1696</v>
      </c>
      <c r="Q3">
        <f>varicella!Q3</f>
        <v>563</v>
      </c>
      <c r="R3">
        <f>varicella!R3</f>
        <v>205</v>
      </c>
      <c r="S3">
        <f>varicella!S3</f>
        <v>310</v>
      </c>
      <c r="T3">
        <f>varicella!T3</f>
        <v>247</v>
      </c>
      <c r="U3">
        <f>varicella!U3</f>
        <v>141</v>
      </c>
    </row>
    <row r="4" spans="1:21">
      <c r="A4">
        <v>2</v>
      </c>
      <c r="B4">
        <f>varicella!B4</f>
        <v>3839</v>
      </c>
      <c r="C4">
        <f>varicella!C4</f>
        <v>3352</v>
      </c>
      <c r="D4">
        <f>varicella!D4</f>
        <v>3601</v>
      </c>
      <c r="E4">
        <f>varicella!E4</f>
        <v>2784</v>
      </c>
      <c r="F4">
        <f>varicella!F4</f>
        <v>3155</v>
      </c>
      <c r="G4">
        <f>varicella!G4</f>
        <v>3086</v>
      </c>
      <c r="H4">
        <f>varicella!H4</f>
        <v>3436</v>
      </c>
      <c r="I4">
        <f>varicella!I4</f>
        <v>2639</v>
      </c>
      <c r="J4">
        <f>varicella!J4</f>
        <v>2665</v>
      </c>
      <c r="K4">
        <f>varicella!K4</f>
        <v>2308</v>
      </c>
      <c r="L4">
        <f>varicella!L4</f>
        <v>3747</v>
      </c>
      <c r="M4">
        <f>varicella!M4</f>
        <v>3210</v>
      </c>
      <c r="N4">
        <f>varicella!N4</f>
        <v>2685</v>
      </c>
      <c r="O4">
        <f>varicella!O4</f>
        <v>1824</v>
      </c>
      <c r="P4">
        <f>varicella!P4</f>
        <v>2205</v>
      </c>
      <c r="Q4">
        <f>varicella!Q4</f>
        <v>995</v>
      </c>
      <c r="R4">
        <f>varicella!R4</f>
        <v>210</v>
      </c>
      <c r="S4">
        <f>varicella!S4</f>
        <v>101</v>
      </c>
      <c r="T4">
        <f>varicella!T4</f>
        <v>93</v>
      </c>
      <c r="U4">
        <f>varicella!U4</f>
        <v>57</v>
      </c>
    </row>
    <row r="5" spans="1:21">
      <c r="A5">
        <v>3</v>
      </c>
      <c r="B5">
        <f>varicella!B5</f>
        <v>7978</v>
      </c>
      <c r="C5">
        <f>varicella!C5</f>
        <v>7278</v>
      </c>
      <c r="D5">
        <f>varicella!D5</f>
        <v>7410</v>
      </c>
      <c r="E5">
        <f>varicella!E5</f>
        <v>5672</v>
      </c>
      <c r="F5">
        <f>varicella!F5</f>
        <v>6618</v>
      </c>
      <c r="G5">
        <f>varicella!G5</f>
        <v>6703</v>
      </c>
      <c r="H5">
        <f>varicella!H5</f>
        <v>6657</v>
      </c>
      <c r="I5">
        <f>varicella!I5</f>
        <v>5740</v>
      </c>
      <c r="J5">
        <f>varicella!J5</f>
        <v>5792</v>
      </c>
      <c r="K5">
        <f>varicella!K5</f>
        <v>4713</v>
      </c>
      <c r="L5">
        <f>varicella!L5</f>
        <v>6992</v>
      </c>
      <c r="M5">
        <f>varicella!M5</f>
        <v>6336</v>
      </c>
      <c r="N5">
        <f>varicella!N5</f>
        <v>5282</v>
      </c>
      <c r="O5">
        <f>varicella!O5</f>
        <v>3937</v>
      </c>
      <c r="P5">
        <f>varicella!P5</f>
        <v>4431</v>
      </c>
      <c r="Q5">
        <f>varicella!Q5</f>
        <v>1921</v>
      </c>
      <c r="R5">
        <f>varicella!R5</f>
        <v>1163</v>
      </c>
      <c r="S5">
        <f>varicella!S5</f>
        <v>629</v>
      </c>
      <c r="T5">
        <f>varicella!T5</f>
        <v>145</v>
      </c>
      <c r="U5">
        <f>varicella!U5</f>
        <v>88</v>
      </c>
    </row>
    <row r="6" spans="1:21">
      <c r="A6">
        <v>4</v>
      </c>
      <c r="B6">
        <f>varicella!B6</f>
        <v>8954</v>
      </c>
      <c r="C6">
        <f>varicella!C6</f>
        <v>8128</v>
      </c>
      <c r="D6">
        <f>varicella!D6</f>
        <v>8195</v>
      </c>
      <c r="E6">
        <f>varicella!E6</f>
        <v>6207</v>
      </c>
      <c r="F6">
        <f>varicella!F6</f>
        <v>6978</v>
      </c>
      <c r="G6">
        <f>varicella!G6</f>
        <v>7118</v>
      </c>
      <c r="H6">
        <f>varicella!H6</f>
        <v>7244</v>
      </c>
      <c r="I6">
        <f>varicella!I6</f>
        <v>6281</v>
      </c>
      <c r="J6">
        <f>varicella!J6</f>
        <v>6387</v>
      </c>
      <c r="K6">
        <f>varicella!K6</f>
        <v>5225</v>
      </c>
      <c r="L6">
        <f>varicella!L6</f>
        <v>7376</v>
      </c>
      <c r="M6">
        <f>varicella!M6</f>
        <v>6539</v>
      </c>
      <c r="N6">
        <f>varicella!N6</f>
        <v>5779</v>
      </c>
      <c r="O6">
        <f>varicella!O6</f>
        <v>4034</v>
      </c>
      <c r="P6">
        <f>varicella!P6</f>
        <v>4981</v>
      </c>
      <c r="Q6">
        <f>varicella!Q6</f>
        <v>2148</v>
      </c>
      <c r="R6">
        <f>varicella!R6</f>
        <v>1554</v>
      </c>
      <c r="S6">
        <f>varicella!S6</f>
        <v>2055</v>
      </c>
      <c r="T6">
        <f>varicella!T6</f>
        <v>651</v>
      </c>
      <c r="U6">
        <f>varicella!U6</f>
        <v>114</v>
      </c>
    </row>
    <row r="7" spans="1:21">
      <c r="A7">
        <v>5</v>
      </c>
      <c r="B7">
        <f>varicella!B7</f>
        <v>7872</v>
      </c>
      <c r="C7">
        <f>varicella!C7</f>
        <v>6764</v>
      </c>
      <c r="D7">
        <f>varicella!D7</f>
        <v>7092</v>
      </c>
      <c r="E7">
        <f>varicella!E7</f>
        <v>5301</v>
      </c>
      <c r="F7">
        <f>varicella!F7</f>
        <v>5699</v>
      </c>
      <c r="G7">
        <f>varicella!G7</f>
        <v>6109</v>
      </c>
      <c r="H7">
        <f>varicella!H7</f>
        <v>6077</v>
      </c>
      <c r="I7">
        <f>varicella!I7</f>
        <v>5140</v>
      </c>
      <c r="J7">
        <f>varicella!J7</f>
        <v>5234</v>
      </c>
      <c r="K7">
        <f>varicella!K7</f>
        <v>4560</v>
      </c>
      <c r="L7">
        <f>varicella!L7</f>
        <v>6539</v>
      </c>
      <c r="M7">
        <f>varicella!M7</f>
        <v>5405</v>
      </c>
      <c r="N7">
        <f>varicella!N7</f>
        <v>4743</v>
      </c>
      <c r="O7">
        <f>varicella!O7</f>
        <v>3487</v>
      </c>
      <c r="P7">
        <f>varicella!P7</f>
        <v>4557</v>
      </c>
      <c r="Q7">
        <f>varicella!Q7</f>
        <v>1954</v>
      </c>
      <c r="R7">
        <f>varicella!R7</f>
        <v>1569</v>
      </c>
      <c r="S7">
        <f>varicella!S7</f>
        <v>2325</v>
      </c>
      <c r="T7">
        <f>varicella!T7</f>
        <v>2138</v>
      </c>
      <c r="U7">
        <f>varicella!U7</f>
        <v>472</v>
      </c>
    </row>
    <row r="8" spans="1:21">
      <c r="A8">
        <v>6</v>
      </c>
      <c r="B8">
        <f>varicella!B8</f>
        <v>5673</v>
      </c>
      <c r="C8">
        <f>varicella!C8</f>
        <v>4856</v>
      </c>
      <c r="D8">
        <f>varicella!D8</f>
        <v>5148</v>
      </c>
      <c r="E8">
        <f>varicella!E8</f>
        <v>3813</v>
      </c>
      <c r="F8">
        <f>varicella!F8</f>
        <v>4313</v>
      </c>
      <c r="G8">
        <f>varicella!G8</f>
        <v>4117</v>
      </c>
      <c r="H8">
        <f>varicella!H8</f>
        <v>4132</v>
      </c>
      <c r="I8">
        <f>varicella!I8</f>
        <v>3516</v>
      </c>
      <c r="J8">
        <f>varicella!J8</f>
        <v>3790</v>
      </c>
      <c r="K8">
        <f>varicella!K8</f>
        <v>3200</v>
      </c>
      <c r="L8">
        <f>varicella!L8</f>
        <v>4523</v>
      </c>
      <c r="M8">
        <f>varicella!M8</f>
        <v>4056</v>
      </c>
      <c r="N8">
        <f>varicella!N8</f>
        <v>3460</v>
      </c>
      <c r="O8">
        <f>varicella!O8</f>
        <v>2569</v>
      </c>
      <c r="P8">
        <f>varicella!P8</f>
        <v>3562</v>
      </c>
      <c r="Q8">
        <f>varicella!Q8</f>
        <v>1527</v>
      </c>
      <c r="R8">
        <f>varicella!R8</f>
        <v>1406</v>
      </c>
      <c r="S8">
        <f>varicella!S8</f>
        <v>2123</v>
      </c>
      <c r="T8">
        <f>varicella!T8</f>
        <v>2438</v>
      </c>
      <c r="U8">
        <f>varicella!U8</f>
        <v>1615</v>
      </c>
    </row>
    <row r="9" spans="1:21">
      <c r="A9">
        <v>7</v>
      </c>
      <c r="B9">
        <f>varicella!B9</f>
        <v>3653</v>
      </c>
      <c r="C9">
        <f>varicella!C9</f>
        <v>2890</v>
      </c>
      <c r="D9">
        <f>varicella!D9</f>
        <v>2968</v>
      </c>
      <c r="E9">
        <f>varicella!E9</f>
        <v>2351</v>
      </c>
      <c r="F9">
        <f>varicella!F9</f>
        <v>2432</v>
      </c>
      <c r="G9">
        <f>varicella!G9</f>
        <v>2332</v>
      </c>
      <c r="H9">
        <f>varicella!H9</f>
        <v>2362</v>
      </c>
      <c r="I9">
        <f>varicella!I9</f>
        <v>1972</v>
      </c>
      <c r="J9">
        <f>varicella!J9</f>
        <v>2125</v>
      </c>
      <c r="K9">
        <f>varicella!K9</f>
        <v>1808</v>
      </c>
      <c r="L9">
        <f>varicella!L9</f>
        <v>2551</v>
      </c>
      <c r="M9">
        <f>varicella!M9</f>
        <v>2332</v>
      </c>
      <c r="N9">
        <f>varicella!N9</f>
        <v>2147</v>
      </c>
      <c r="O9">
        <f>varicella!O9</f>
        <v>1593</v>
      </c>
      <c r="P9">
        <f>varicella!P9</f>
        <v>2187</v>
      </c>
      <c r="Q9">
        <f>varicella!Q9</f>
        <v>1116</v>
      </c>
      <c r="R9">
        <f>varicella!R9</f>
        <v>989</v>
      </c>
      <c r="S9">
        <f>varicella!S9</f>
        <v>1966</v>
      </c>
      <c r="T9">
        <f>varicella!T9</f>
        <v>2540</v>
      </c>
      <c r="U9">
        <f>varicella!U9</f>
        <v>2323</v>
      </c>
    </row>
    <row r="10" spans="1:21">
      <c r="A10">
        <v>8</v>
      </c>
      <c r="B10">
        <f>varicella!B10</f>
        <v>2453</v>
      </c>
      <c r="C10">
        <f>varicella!C10</f>
        <v>2018</v>
      </c>
      <c r="D10">
        <f>varicella!D10</f>
        <v>2193</v>
      </c>
      <c r="E10">
        <f>varicella!E10</f>
        <v>1523</v>
      </c>
      <c r="F10">
        <f>varicella!F10</f>
        <v>1623</v>
      </c>
      <c r="G10">
        <f>varicella!G10</f>
        <v>1464</v>
      </c>
      <c r="H10">
        <f>varicella!H10</f>
        <v>1581</v>
      </c>
      <c r="I10">
        <f>varicella!I10</f>
        <v>1363</v>
      </c>
      <c r="J10">
        <f>varicella!J10</f>
        <v>1268</v>
      </c>
      <c r="K10">
        <f>varicella!K10</f>
        <v>1068</v>
      </c>
      <c r="L10">
        <f>varicella!L10</f>
        <v>1609</v>
      </c>
      <c r="M10">
        <f>varicella!M10</f>
        <v>1564</v>
      </c>
      <c r="N10">
        <f>varicella!N10</f>
        <v>1657</v>
      </c>
      <c r="O10">
        <f>varicella!O10</f>
        <v>1219</v>
      </c>
      <c r="P10">
        <f>varicella!P10</f>
        <v>1419</v>
      </c>
      <c r="Q10">
        <f>varicella!Q10</f>
        <v>708</v>
      </c>
      <c r="R10">
        <f>varicella!R10</f>
        <v>671</v>
      </c>
      <c r="S10">
        <f>varicella!S10</f>
        <v>1585</v>
      </c>
      <c r="T10">
        <f>varicella!T10</f>
        <v>1978</v>
      </c>
      <c r="U10">
        <f>varicella!U10</f>
        <v>1854</v>
      </c>
    </row>
    <row r="11" spans="1:21">
      <c r="A11">
        <v>9</v>
      </c>
      <c r="B11">
        <f>varicella!B11</f>
        <v>1815</v>
      </c>
      <c r="C11">
        <f>varicella!C11</f>
        <v>1495</v>
      </c>
      <c r="D11">
        <f>varicella!D11</f>
        <v>1578</v>
      </c>
      <c r="E11">
        <f>varicella!E11</f>
        <v>1086</v>
      </c>
      <c r="F11">
        <f>varicella!F11</f>
        <v>1131</v>
      </c>
      <c r="G11">
        <f>varicella!G11</f>
        <v>1025</v>
      </c>
      <c r="H11">
        <f>varicella!H11</f>
        <v>1198</v>
      </c>
      <c r="I11">
        <f>varicella!I11</f>
        <v>804</v>
      </c>
      <c r="J11">
        <f>varicella!J11</f>
        <v>890</v>
      </c>
      <c r="K11">
        <f>varicella!K11</f>
        <v>647</v>
      </c>
      <c r="L11">
        <f>varicella!L11</f>
        <v>1038</v>
      </c>
      <c r="M11">
        <f>varicella!M11</f>
        <v>1068</v>
      </c>
      <c r="N11">
        <f>varicella!N11</f>
        <v>1043</v>
      </c>
      <c r="O11">
        <f>varicella!O11</f>
        <v>784</v>
      </c>
      <c r="P11">
        <f>varicella!P11</f>
        <v>998</v>
      </c>
      <c r="Q11">
        <f>varicella!Q11</f>
        <v>520</v>
      </c>
      <c r="R11">
        <f>varicella!R11</f>
        <v>413</v>
      </c>
      <c r="S11">
        <f>varicella!S11</f>
        <v>1010</v>
      </c>
      <c r="T11">
        <f>varicella!T11</f>
        <v>1449</v>
      </c>
      <c r="U11">
        <f>varicella!U11</f>
        <v>1420</v>
      </c>
    </row>
    <row r="12" spans="1:21">
      <c r="A12" s="7" t="s">
        <v>3</v>
      </c>
      <c r="B12">
        <f>SUM(varicella!B12:B14)</f>
        <v>5706</v>
      </c>
      <c r="C12">
        <f>SUM(varicella!C12:C14)</f>
        <v>5497</v>
      </c>
      <c r="D12">
        <f>SUM(varicella!D12:D14)</f>
        <v>5835</v>
      </c>
      <c r="E12">
        <f>SUM(varicella!E12:E14)</f>
        <v>4438</v>
      </c>
      <c r="F12">
        <f>SUM(varicella!F12:F14)</f>
        <v>4671</v>
      </c>
      <c r="G12">
        <f>SUM(varicella!G12:G14)</f>
        <v>4016</v>
      </c>
      <c r="H12">
        <f>SUM(varicella!H12:H14)</f>
        <v>4115</v>
      </c>
      <c r="I12">
        <f>SUM(varicella!I12:I14)</f>
        <v>3229</v>
      </c>
      <c r="J12">
        <f>SUM(varicella!J12:J14)</f>
        <v>3207</v>
      </c>
      <c r="K12">
        <f>SUM(varicella!K12:K14)</f>
        <v>2639</v>
      </c>
      <c r="L12">
        <f>SUM(varicella!L12:L14)</f>
        <v>3087</v>
      </c>
      <c r="M12">
        <f>SUM(varicella!M12:M14)</f>
        <v>3342</v>
      </c>
      <c r="N12">
        <f>SUM(varicella!N12:N14)</f>
        <v>3269</v>
      </c>
      <c r="O12">
        <f>SUM(varicella!O12:O14)</f>
        <v>2363</v>
      </c>
      <c r="P12">
        <f>SUM(varicella!P12:P14)</f>
        <v>3090</v>
      </c>
      <c r="Q12">
        <f>SUM(varicella!Q12:Q14)</f>
        <v>1445</v>
      </c>
      <c r="R12">
        <f>SUM(varicella!R12:R14)</f>
        <v>1312</v>
      </c>
      <c r="S12">
        <f>SUM(varicella!S12:S14)</f>
        <v>2490</v>
      </c>
      <c r="T12">
        <f>SUM(varicella!T12:T14)</f>
        <v>3330</v>
      </c>
      <c r="U12">
        <f>SUM(varicella!U12:U14)</f>
        <v>3197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C742D-970B-4ACA-9042-7A9F6724599D}">
  <dimension ref="A1:U18"/>
  <sheetViews>
    <sheetView tabSelected="1" workbookViewId="0">
      <selection activeCell="B18" sqref="A1:U18"/>
    </sheetView>
  </sheetViews>
  <sheetFormatPr defaultRowHeight="14.5"/>
  <sheetData>
    <row r="1" spans="1:21">
      <c r="A1" s="1"/>
      <c r="B1" s="1">
        <v>2005</v>
      </c>
      <c r="C1" s="2">
        <v>2006</v>
      </c>
      <c r="D1" s="1">
        <v>2007</v>
      </c>
      <c r="E1" s="2">
        <v>2008</v>
      </c>
      <c r="F1" s="1">
        <v>2009</v>
      </c>
      <c r="G1" s="2">
        <v>2010</v>
      </c>
      <c r="H1" s="1">
        <v>2011</v>
      </c>
      <c r="I1" s="2">
        <v>2012</v>
      </c>
      <c r="J1" s="2">
        <v>2013</v>
      </c>
      <c r="K1" s="2">
        <v>2014</v>
      </c>
      <c r="L1" s="3">
        <v>2015</v>
      </c>
      <c r="M1" s="2">
        <v>2016</v>
      </c>
      <c r="N1" s="3">
        <v>2017</v>
      </c>
      <c r="O1" s="2">
        <v>2018</v>
      </c>
      <c r="P1" s="3">
        <v>2019</v>
      </c>
      <c r="Q1" s="2">
        <v>2020</v>
      </c>
      <c r="R1" s="3">
        <v>2021</v>
      </c>
      <c r="S1" s="2">
        <v>2022</v>
      </c>
      <c r="T1" s="3">
        <v>2023</v>
      </c>
      <c r="U1" s="2">
        <v>2024</v>
      </c>
    </row>
    <row r="2" spans="1:21">
      <c r="A2">
        <v>0</v>
      </c>
      <c r="B2">
        <f>varicella!B2</f>
        <v>1815</v>
      </c>
      <c r="C2">
        <f>varicella!C2</f>
        <v>1579</v>
      </c>
      <c r="D2">
        <f>varicella!D2</f>
        <v>1633</v>
      </c>
      <c r="E2">
        <f>varicella!E2</f>
        <v>1203</v>
      </c>
      <c r="F2">
        <f>varicella!F2</f>
        <v>1443</v>
      </c>
      <c r="G2">
        <f>varicella!G2</f>
        <v>1320</v>
      </c>
      <c r="H2">
        <f>varicella!H2</f>
        <v>1245</v>
      </c>
      <c r="I2">
        <f>varicella!I2</f>
        <v>1070</v>
      </c>
      <c r="J2">
        <f>varicella!J2</f>
        <v>1252</v>
      </c>
      <c r="K2">
        <f>varicella!K2</f>
        <v>1052</v>
      </c>
      <c r="L2">
        <f>varicella!L2</f>
        <v>1577</v>
      </c>
      <c r="M2">
        <f>varicella!M2</f>
        <v>1518</v>
      </c>
      <c r="N2">
        <f>varicella!N2</f>
        <v>1343</v>
      </c>
      <c r="O2">
        <f>varicella!O2</f>
        <v>948</v>
      </c>
      <c r="P2">
        <f>varicella!P2</f>
        <v>1276</v>
      </c>
      <c r="Q2">
        <f>varicella!Q2</f>
        <v>703</v>
      </c>
      <c r="R2">
        <f>varicella!R2</f>
        <v>524</v>
      </c>
      <c r="S2">
        <f>varicella!S2</f>
        <v>602</v>
      </c>
      <c r="T2">
        <f>varicella!T2</f>
        <v>568</v>
      </c>
      <c r="U2">
        <f>varicella!U2</f>
        <v>467</v>
      </c>
    </row>
    <row r="3" spans="1:21">
      <c r="A3">
        <v>1</v>
      </c>
      <c r="B3">
        <f>varicella!B3</f>
        <v>2850</v>
      </c>
      <c r="C3">
        <f>varicella!C3</f>
        <v>2515</v>
      </c>
      <c r="D3">
        <f>varicella!D3</f>
        <v>2660</v>
      </c>
      <c r="E3">
        <f>varicella!E3</f>
        <v>2034</v>
      </c>
      <c r="F3">
        <f>varicella!F3</f>
        <v>2397</v>
      </c>
      <c r="G3">
        <f>varicella!G3</f>
        <v>2312</v>
      </c>
      <c r="H3">
        <f>varicella!H3</f>
        <v>2342</v>
      </c>
      <c r="I3">
        <f>varicella!I3</f>
        <v>1700</v>
      </c>
      <c r="J3">
        <f>varicella!J3</f>
        <v>1988</v>
      </c>
      <c r="K3">
        <f>varicella!K3</f>
        <v>1662</v>
      </c>
      <c r="L3">
        <f>varicella!L3</f>
        <v>2581</v>
      </c>
      <c r="M3">
        <f>varicella!M3</f>
        <v>2473</v>
      </c>
      <c r="N3">
        <f>varicella!N3</f>
        <v>1984</v>
      </c>
      <c r="O3">
        <f>varicella!O3</f>
        <v>1418</v>
      </c>
      <c r="P3">
        <f>varicella!P3</f>
        <v>1696</v>
      </c>
      <c r="Q3">
        <f>varicella!Q3</f>
        <v>563</v>
      </c>
      <c r="R3">
        <f>varicella!R3</f>
        <v>205</v>
      </c>
      <c r="S3">
        <f>varicella!S3</f>
        <v>310</v>
      </c>
      <c r="T3">
        <f>varicella!T3</f>
        <v>247</v>
      </c>
      <c r="U3">
        <f>varicella!U3</f>
        <v>141</v>
      </c>
    </row>
    <row r="4" spans="1:21">
      <c r="A4">
        <v>2</v>
      </c>
      <c r="B4">
        <f>varicella!B4</f>
        <v>3839</v>
      </c>
      <c r="C4">
        <f>varicella!C4</f>
        <v>3352</v>
      </c>
      <c r="D4">
        <f>varicella!D4</f>
        <v>3601</v>
      </c>
      <c r="E4">
        <f>varicella!E4</f>
        <v>2784</v>
      </c>
      <c r="F4">
        <f>varicella!F4</f>
        <v>3155</v>
      </c>
      <c r="G4">
        <f>varicella!G4</f>
        <v>3086</v>
      </c>
      <c r="H4">
        <f>varicella!H4</f>
        <v>3436</v>
      </c>
      <c r="I4">
        <f>varicella!I4</f>
        <v>2639</v>
      </c>
      <c r="J4">
        <f>varicella!J4</f>
        <v>2665</v>
      </c>
      <c r="K4">
        <f>varicella!K4</f>
        <v>2308</v>
      </c>
      <c r="L4">
        <f>varicella!L4</f>
        <v>3747</v>
      </c>
      <c r="M4">
        <f>varicella!M4</f>
        <v>3210</v>
      </c>
      <c r="N4">
        <f>varicella!N4</f>
        <v>2685</v>
      </c>
      <c r="O4">
        <f>varicella!O4</f>
        <v>1824</v>
      </c>
      <c r="P4">
        <f>varicella!P4</f>
        <v>2205</v>
      </c>
      <c r="Q4">
        <f>varicella!Q4</f>
        <v>995</v>
      </c>
      <c r="R4">
        <f>varicella!R4</f>
        <v>210</v>
      </c>
      <c r="S4">
        <f>varicella!S4</f>
        <v>101</v>
      </c>
      <c r="T4">
        <f>varicella!T4</f>
        <v>93</v>
      </c>
      <c r="U4">
        <f>varicella!U4</f>
        <v>57</v>
      </c>
    </row>
    <row r="5" spans="1:21">
      <c r="A5">
        <v>3</v>
      </c>
      <c r="B5">
        <f>varicella!B5</f>
        <v>7978</v>
      </c>
      <c r="C5">
        <f>varicella!C5</f>
        <v>7278</v>
      </c>
      <c r="D5">
        <f>varicella!D5</f>
        <v>7410</v>
      </c>
      <c r="E5">
        <f>varicella!E5</f>
        <v>5672</v>
      </c>
      <c r="F5">
        <f>varicella!F5</f>
        <v>6618</v>
      </c>
      <c r="G5">
        <f>varicella!G5</f>
        <v>6703</v>
      </c>
      <c r="H5">
        <f>varicella!H5</f>
        <v>6657</v>
      </c>
      <c r="I5">
        <f>varicella!I5</f>
        <v>5740</v>
      </c>
      <c r="J5">
        <f>varicella!J5</f>
        <v>5792</v>
      </c>
      <c r="K5">
        <f>varicella!K5</f>
        <v>4713</v>
      </c>
      <c r="L5">
        <f>varicella!L5</f>
        <v>6992</v>
      </c>
      <c r="M5">
        <f>varicella!M5</f>
        <v>6336</v>
      </c>
      <c r="N5">
        <f>varicella!N5</f>
        <v>5282</v>
      </c>
      <c r="O5">
        <f>varicella!O5</f>
        <v>3937</v>
      </c>
      <c r="P5">
        <f>varicella!P5</f>
        <v>4431</v>
      </c>
      <c r="Q5">
        <f>varicella!Q5</f>
        <v>1921</v>
      </c>
      <c r="R5">
        <f>varicella!R5</f>
        <v>1163</v>
      </c>
      <c r="S5">
        <f>varicella!S5</f>
        <v>629</v>
      </c>
      <c r="T5">
        <f>varicella!T5</f>
        <v>145</v>
      </c>
      <c r="U5">
        <f>varicella!U5</f>
        <v>88</v>
      </c>
    </row>
    <row r="6" spans="1:21">
      <c r="A6">
        <v>4</v>
      </c>
      <c r="B6">
        <f>varicella!B6</f>
        <v>8954</v>
      </c>
      <c r="C6">
        <f>varicella!C6</f>
        <v>8128</v>
      </c>
      <c r="D6">
        <f>varicella!D6</f>
        <v>8195</v>
      </c>
      <c r="E6">
        <f>varicella!E6</f>
        <v>6207</v>
      </c>
      <c r="F6">
        <f>varicella!F6</f>
        <v>6978</v>
      </c>
      <c r="G6">
        <f>varicella!G6</f>
        <v>7118</v>
      </c>
      <c r="H6">
        <f>varicella!H6</f>
        <v>7244</v>
      </c>
      <c r="I6">
        <f>varicella!I6</f>
        <v>6281</v>
      </c>
      <c r="J6">
        <f>varicella!J6</f>
        <v>6387</v>
      </c>
      <c r="K6">
        <f>varicella!K6</f>
        <v>5225</v>
      </c>
      <c r="L6">
        <f>varicella!L6</f>
        <v>7376</v>
      </c>
      <c r="M6">
        <f>varicella!M6</f>
        <v>6539</v>
      </c>
      <c r="N6">
        <f>varicella!N6</f>
        <v>5779</v>
      </c>
      <c r="O6">
        <f>varicella!O6</f>
        <v>4034</v>
      </c>
      <c r="P6">
        <f>varicella!P6</f>
        <v>4981</v>
      </c>
      <c r="Q6">
        <f>varicella!Q6</f>
        <v>2148</v>
      </c>
      <c r="R6">
        <f>varicella!R6</f>
        <v>1554</v>
      </c>
      <c r="S6">
        <f>varicella!S6</f>
        <v>2055</v>
      </c>
      <c r="T6">
        <f>varicella!T6</f>
        <v>651</v>
      </c>
      <c r="U6">
        <f>varicella!U6</f>
        <v>114</v>
      </c>
    </row>
    <row r="7" spans="1:21">
      <c r="A7">
        <v>5</v>
      </c>
      <c r="B7">
        <f>varicella!B7</f>
        <v>7872</v>
      </c>
      <c r="C7">
        <f>varicella!C7</f>
        <v>6764</v>
      </c>
      <c r="D7">
        <f>varicella!D7</f>
        <v>7092</v>
      </c>
      <c r="E7">
        <f>varicella!E7</f>
        <v>5301</v>
      </c>
      <c r="F7">
        <f>varicella!F7</f>
        <v>5699</v>
      </c>
      <c r="G7">
        <f>varicella!G7</f>
        <v>6109</v>
      </c>
      <c r="H7">
        <f>varicella!H7</f>
        <v>6077</v>
      </c>
      <c r="I7">
        <f>varicella!I7</f>
        <v>5140</v>
      </c>
      <c r="J7">
        <f>varicella!J7</f>
        <v>5234</v>
      </c>
      <c r="K7">
        <f>varicella!K7</f>
        <v>4560</v>
      </c>
      <c r="L7">
        <f>varicella!L7</f>
        <v>6539</v>
      </c>
      <c r="M7">
        <f>varicella!M7</f>
        <v>5405</v>
      </c>
      <c r="N7">
        <f>varicella!N7</f>
        <v>4743</v>
      </c>
      <c r="O7">
        <f>varicella!O7</f>
        <v>3487</v>
      </c>
      <c r="P7">
        <f>varicella!P7</f>
        <v>4557</v>
      </c>
      <c r="Q7">
        <f>varicella!Q7</f>
        <v>1954</v>
      </c>
      <c r="R7">
        <f>varicella!R7</f>
        <v>1569</v>
      </c>
      <c r="S7">
        <f>varicella!S7</f>
        <v>2325</v>
      </c>
      <c r="T7">
        <f>varicella!T7</f>
        <v>2138</v>
      </c>
      <c r="U7">
        <f>varicella!U7</f>
        <v>472</v>
      </c>
    </row>
    <row r="8" spans="1:21">
      <c r="A8">
        <v>6</v>
      </c>
      <c r="B8">
        <f>varicella!B8</f>
        <v>5673</v>
      </c>
      <c r="C8">
        <f>varicella!C8</f>
        <v>4856</v>
      </c>
      <c r="D8">
        <f>varicella!D8</f>
        <v>5148</v>
      </c>
      <c r="E8">
        <f>varicella!E8</f>
        <v>3813</v>
      </c>
      <c r="F8">
        <f>varicella!F8</f>
        <v>4313</v>
      </c>
      <c r="G8">
        <f>varicella!G8</f>
        <v>4117</v>
      </c>
      <c r="H8">
        <f>varicella!H8</f>
        <v>4132</v>
      </c>
      <c r="I8">
        <f>varicella!I8</f>
        <v>3516</v>
      </c>
      <c r="J8">
        <f>varicella!J8</f>
        <v>3790</v>
      </c>
      <c r="K8">
        <f>varicella!K8</f>
        <v>3200</v>
      </c>
      <c r="L8">
        <f>varicella!L8</f>
        <v>4523</v>
      </c>
      <c r="M8">
        <f>varicella!M8</f>
        <v>4056</v>
      </c>
      <c r="N8">
        <f>varicella!N8</f>
        <v>3460</v>
      </c>
      <c r="O8">
        <f>varicella!O8</f>
        <v>2569</v>
      </c>
      <c r="P8">
        <f>varicella!P8</f>
        <v>3562</v>
      </c>
      <c r="Q8">
        <f>varicella!Q8</f>
        <v>1527</v>
      </c>
      <c r="R8">
        <f>varicella!R8</f>
        <v>1406</v>
      </c>
      <c r="S8">
        <f>varicella!S8</f>
        <v>2123</v>
      </c>
      <c r="T8">
        <f>varicella!T8</f>
        <v>2438</v>
      </c>
      <c r="U8">
        <f>varicella!U8</f>
        <v>1615</v>
      </c>
    </row>
    <row r="9" spans="1:21">
      <c r="A9">
        <v>7</v>
      </c>
      <c r="B9">
        <f>varicella!B9</f>
        <v>3653</v>
      </c>
      <c r="C9">
        <f>varicella!C9</f>
        <v>2890</v>
      </c>
      <c r="D9">
        <f>varicella!D9</f>
        <v>2968</v>
      </c>
      <c r="E9">
        <f>varicella!E9</f>
        <v>2351</v>
      </c>
      <c r="F9">
        <f>varicella!F9</f>
        <v>2432</v>
      </c>
      <c r="G9">
        <f>varicella!G9</f>
        <v>2332</v>
      </c>
      <c r="H9">
        <f>varicella!H9</f>
        <v>2362</v>
      </c>
      <c r="I9">
        <f>varicella!I9</f>
        <v>1972</v>
      </c>
      <c r="J9">
        <f>varicella!J9</f>
        <v>2125</v>
      </c>
      <c r="K9">
        <f>varicella!K9</f>
        <v>1808</v>
      </c>
      <c r="L9">
        <f>varicella!L9</f>
        <v>2551</v>
      </c>
      <c r="M9">
        <f>varicella!M9</f>
        <v>2332</v>
      </c>
      <c r="N9">
        <f>varicella!N9</f>
        <v>2147</v>
      </c>
      <c r="O9">
        <f>varicella!O9</f>
        <v>1593</v>
      </c>
      <c r="P9">
        <f>varicella!P9</f>
        <v>2187</v>
      </c>
      <c r="Q9">
        <f>varicella!Q9</f>
        <v>1116</v>
      </c>
      <c r="R9">
        <f>varicella!R9</f>
        <v>989</v>
      </c>
      <c r="S9">
        <f>varicella!S9</f>
        <v>1966</v>
      </c>
      <c r="T9">
        <f>varicella!T9</f>
        <v>2540</v>
      </c>
      <c r="U9">
        <f>varicella!U9</f>
        <v>2323</v>
      </c>
    </row>
    <row r="10" spans="1:21">
      <c r="A10">
        <v>8</v>
      </c>
      <c r="B10">
        <f>varicella!B10</f>
        <v>2453</v>
      </c>
      <c r="C10">
        <f>varicella!C10</f>
        <v>2018</v>
      </c>
      <c r="D10">
        <f>varicella!D10</f>
        <v>2193</v>
      </c>
      <c r="E10">
        <f>varicella!E10</f>
        <v>1523</v>
      </c>
      <c r="F10">
        <f>varicella!F10</f>
        <v>1623</v>
      </c>
      <c r="G10">
        <f>varicella!G10</f>
        <v>1464</v>
      </c>
      <c r="H10">
        <f>varicella!H10</f>
        <v>1581</v>
      </c>
      <c r="I10">
        <f>varicella!I10</f>
        <v>1363</v>
      </c>
      <c r="J10">
        <f>varicella!J10</f>
        <v>1268</v>
      </c>
      <c r="K10">
        <f>varicella!K10</f>
        <v>1068</v>
      </c>
      <c r="L10">
        <f>varicella!L10</f>
        <v>1609</v>
      </c>
      <c r="M10">
        <f>varicella!M10</f>
        <v>1564</v>
      </c>
      <c r="N10">
        <f>varicella!N10</f>
        <v>1657</v>
      </c>
      <c r="O10">
        <f>varicella!O10</f>
        <v>1219</v>
      </c>
      <c r="P10">
        <f>varicella!P10</f>
        <v>1419</v>
      </c>
      <c r="Q10">
        <f>varicella!Q10</f>
        <v>708</v>
      </c>
      <c r="R10">
        <f>varicella!R10</f>
        <v>671</v>
      </c>
      <c r="S10">
        <f>varicella!S10</f>
        <v>1585</v>
      </c>
      <c r="T10">
        <f>varicella!T10</f>
        <v>1978</v>
      </c>
      <c r="U10">
        <f>varicella!U10</f>
        <v>1854</v>
      </c>
    </row>
    <row r="11" spans="1:21">
      <c r="A11">
        <v>9</v>
      </c>
      <c r="B11">
        <f>varicella!B11</f>
        <v>1815</v>
      </c>
      <c r="C11">
        <f>varicella!C11</f>
        <v>1495</v>
      </c>
      <c r="D11">
        <f>varicella!D11</f>
        <v>1578</v>
      </c>
      <c r="E11">
        <f>varicella!E11</f>
        <v>1086</v>
      </c>
      <c r="F11">
        <f>varicella!F11</f>
        <v>1131</v>
      </c>
      <c r="G11">
        <f>varicella!G11</f>
        <v>1025</v>
      </c>
      <c r="H11">
        <f>varicella!H11</f>
        <v>1198</v>
      </c>
      <c r="I11">
        <f>varicella!I11</f>
        <v>804</v>
      </c>
      <c r="J11">
        <f>varicella!J11</f>
        <v>890</v>
      </c>
      <c r="K11">
        <f>varicella!K11</f>
        <v>647</v>
      </c>
      <c r="L11">
        <f>varicella!L11</f>
        <v>1038</v>
      </c>
      <c r="M11">
        <f>varicella!M11</f>
        <v>1068</v>
      </c>
      <c r="N11">
        <f>varicella!N11</f>
        <v>1043</v>
      </c>
      <c r="O11">
        <f>varicella!O11</f>
        <v>784</v>
      </c>
      <c r="P11">
        <f>varicella!P11</f>
        <v>998</v>
      </c>
      <c r="Q11">
        <f>varicella!Q11</f>
        <v>520</v>
      </c>
      <c r="R11">
        <f>varicella!R11</f>
        <v>413</v>
      </c>
      <c r="S11">
        <f>varicella!S11</f>
        <v>1010</v>
      </c>
      <c r="T11">
        <f>varicella!T11</f>
        <v>1449</v>
      </c>
      <c r="U11">
        <f>varicella!U11</f>
        <v>1420</v>
      </c>
    </row>
    <row r="12" spans="1:21">
      <c r="A12">
        <v>10</v>
      </c>
      <c r="B12" s="8">
        <v>1242</v>
      </c>
      <c r="C12" s="8">
        <v>1195</v>
      </c>
      <c r="D12" s="8">
        <v>1185</v>
      </c>
      <c r="E12" s="8">
        <v>895</v>
      </c>
      <c r="F12" s="8">
        <v>901</v>
      </c>
      <c r="G12" s="8">
        <v>771</v>
      </c>
      <c r="H12" s="4">
        <v>754</v>
      </c>
      <c r="I12" s="4">
        <v>608</v>
      </c>
      <c r="J12" s="5">
        <v>638</v>
      </c>
      <c r="K12" s="6">
        <v>520</v>
      </c>
      <c r="L12" s="6">
        <v>692</v>
      </c>
      <c r="M12" s="6">
        <v>761</v>
      </c>
      <c r="N12" s="6">
        <v>755</v>
      </c>
      <c r="O12" s="6">
        <v>581</v>
      </c>
      <c r="P12" s="6">
        <v>812</v>
      </c>
      <c r="Q12" s="6">
        <v>316</v>
      </c>
      <c r="R12" s="6">
        <v>334</v>
      </c>
      <c r="S12" s="6">
        <v>690</v>
      </c>
      <c r="T12" s="6">
        <v>995</v>
      </c>
      <c r="U12" s="6">
        <v>981</v>
      </c>
    </row>
    <row r="13" spans="1:21">
      <c r="A13">
        <v>11</v>
      </c>
      <c r="B13" s="8">
        <v>840</v>
      </c>
      <c r="C13" s="8">
        <v>784</v>
      </c>
      <c r="D13" s="8">
        <v>911</v>
      </c>
      <c r="E13" s="8">
        <v>676</v>
      </c>
      <c r="F13" s="8">
        <v>704</v>
      </c>
      <c r="G13" s="8">
        <v>540</v>
      </c>
      <c r="H13" s="4">
        <v>553</v>
      </c>
      <c r="I13" s="4">
        <v>496</v>
      </c>
      <c r="J13" s="5">
        <v>510</v>
      </c>
      <c r="K13" s="6">
        <v>350</v>
      </c>
      <c r="L13" s="6">
        <v>460</v>
      </c>
      <c r="M13" s="6">
        <v>535</v>
      </c>
      <c r="N13" s="6">
        <v>482</v>
      </c>
      <c r="O13" s="6">
        <v>372</v>
      </c>
      <c r="P13" s="6">
        <v>490</v>
      </c>
      <c r="Q13" s="6">
        <v>236</v>
      </c>
      <c r="R13" s="6">
        <v>229</v>
      </c>
      <c r="S13" s="6">
        <v>443</v>
      </c>
      <c r="T13" s="6">
        <v>667</v>
      </c>
      <c r="U13" s="6">
        <v>649</v>
      </c>
    </row>
    <row r="14" spans="1:21">
      <c r="A14">
        <v>12</v>
      </c>
      <c r="B14" s="8">
        <v>594</v>
      </c>
      <c r="C14" s="8">
        <v>606</v>
      </c>
      <c r="D14" s="8">
        <v>731</v>
      </c>
      <c r="E14" s="8">
        <v>569</v>
      </c>
      <c r="F14" s="8">
        <v>534</v>
      </c>
      <c r="G14" s="8">
        <v>512</v>
      </c>
      <c r="H14" s="4">
        <v>448</v>
      </c>
      <c r="I14" s="4">
        <v>341</v>
      </c>
      <c r="J14" s="5">
        <v>392</v>
      </c>
      <c r="K14" s="6">
        <v>287</v>
      </c>
      <c r="L14" s="6">
        <v>361</v>
      </c>
      <c r="M14" s="6">
        <v>392</v>
      </c>
      <c r="N14" s="6">
        <v>388</v>
      </c>
      <c r="O14" s="6">
        <v>283</v>
      </c>
      <c r="P14" s="6">
        <v>390</v>
      </c>
      <c r="Q14" s="6">
        <v>187</v>
      </c>
      <c r="R14" s="6">
        <v>176</v>
      </c>
      <c r="S14" s="6">
        <v>328</v>
      </c>
      <c r="T14" s="6">
        <v>450</v>
      </c>
      <c r="U14" s="6">
        <v>490</v>
      </c>
    </row>
    <row r="15" spans="1:21">
      <c r="A15">
        <v>13</v>
      </c>
      <c r="B15" s="8">
        <v>583</v>
      </c>
      <c r="C15" s="8">
        <v>522</v>
      </c>
      <c r="D15" s="8">
        <v>564</v>
      </c>
      <c r="E15" s="8">
        <v>364</v>
      </c>
      <c r="F15" s="8">
        <v>512</v>
      </c>
      <c r="G15" s="8">
        <v>381</v>
      </c>
      <c r="H15" s="4">
        <v>385</v>
      </c>
      <c r="I15" s="4">
        <v>293</v>
      </c>
      <c r="J15" s="5">
        <v>248</v>
      </c>
      <c r="K15" s="6">
        <v>248</v>
      </c>
      <c r="L15" s="6">
        <v>266</v>
      </c>
      <c r="M15" s="6">
        <v>286</v>
      </c>
      <c r="N15" s="6">
        <v>307</v>
      </c>
      <c r="O15" s="6">
        <v>231</v>
      </c>
      <c r="P15" s="6">
        <v>301</v>
      </c>
      <c r="Q15" s="6">
        <v>141</v>
      </c>
      <c r="R15" s="6">
        <v>138</v>
      </c>
      <c r="S15" s="6">
        <v>281</v>
      </c>
      <c r="T15" s="6">
        <v>382</v>
      </c>
      <c r="U15" s="6">
        <v>328</v>
      </c>
    </row>
    <row r="16" spans="1:21">
      <c r="A16">
        <v>14</v>
      </c>
      <c r="B16" s="8">
        <v>360</v>
      </c>
      <c r="C16" s="8">
        <v>326</v>
      </c>
      <c r="D16" s="8">
        <v>418</v>
      </c>
      <c r="E16" s="8">
        <v>359</v>
      </c>
      <c r="F16" s="8">
        <v>344</v>
      </c>
      <c r="G16" s="8">
        <v>357</v>
      </c>
      <c r="H16" s="4">
        <v>318</v>
      </c>
      <c r="I16" s="4">
        <v>233</v>
      </c>
      <c r="J16" s="5">
        <v>223</v>
      </c>
      <c r="K16" s="6">
        <v>185</v>
      </c>
      <c r="L16" s="6">
        <v>203</v>
      </c>
      <c r="M16" s="6">
        <v>253</v>
      </c>
      <c r="N16" s="6">
        <v>243</v>
      </c>
      <c r="O16" s="6">
        <v>168</v>
      </c>
      <c r="P16" s="6">
        <v>196</v>
      </c>
      <c r="Q16" s="6">
        <v>111</v>
      </c>
      <c r="R16" s="6">
        <v>81</v>
      </c>
      <c r="S16" s="6">
        <v>179</v>
      </c>
      <c r="T16" s="6">
        <v>249</v>
      </c>
      <c r="U16" s="6">
        <v>226</v>
      </c>
    </row>
    <row r="17" spans="1:21">
      <c r="A17" t="s">
        <v>4</v>
      </c>
      <c r="B17">
        <f>SUM(varicella!B13:B14)</f>
        <v>2087</v>
      </c>
      <c r="C17">
        <f>SUM(varicella!C13:C14)</f>
        <v>2064</v>
      </c>
      <c r="D17">
        <f>SUM(varicella!D13:D14)</f>
        <v>2026</v>
      </c>
      <c r="E17">
        <f>SUM(varicella!E13:E14)</f>
        <v>1575</v>
      </c>
      <c r="F17">
        <f>SUM(varicella!F13:F14)</f>
        <v>1676</v>
      </c>
      <c r="G17">
        <f>SUM(varicella!G13:G14)</f>
        <v>1455</v>
      </c>
      <c r="H17">
        <f>SUM(varicella!H13:H14)</f>
        <v>1657</v>
      </c>
      <c r="I17">
        <f>SUM(varicella!I13:I14)</f>
        <v>1258</v>
      </c>
      <c r="J17">
        <f>SUM(varicella!J13:J14)</f>
        <v>1196</v>
      </c>
      <c r="K17">
        <f>SUM(varicella!K13:K14)</f>
        <v>1049</v>
      </c>
      <c r="L17">
        <f>SUM(varicella!L13:L14)</f>
        <v>1105</v>
      </c>
      <c r="M17">
        <f>SUM(varicella!M13:M14)</f>
        <v>1115</v>
      </c>
      <c r="N17">
        <f>SUM(varicella!N13:N14)</f>
        <v>1094</v>
      </c>
      <c r="O17">
        <f>SUM(varicella!O13:O14)</f>
        <v>728</v>
      </c>
      <c r="P17">
        <f>SUM(varicella!P13:P14)</f>
        <v>901</v>
      </c>
      <c r="Q17">
        <f>SUM(varicella!Q13:Q14)</f>
        <v>454</v>
      </c>
      <c r="R17">
        <f>SUM(varicella!R13:R14)</f>
        <v>354</v>
      </c>
      <c r="S17">
        <f>SUM(varicella!S13:S14)</f>
        <v>569</v>
      </c>
      <c r="T17">
        <f>SUM(varicella!T13:T14)</f>
        <v>587</v>
      </c>
      <c r="U17">
        <f>SUM(varicella!U13:U14)</f>
        <v>523</v>
      </c>
    </row>
    <row r="18" spans="1:21">
      <c r="B18">
        <f>SUM(B2:B17)</f>
        <v>52608</v>
      </c>
      <c r="C18">
        <f t="shared" ref="C18:U18" si="0">SUM(C2:C17)</f>
        <v>46372</v>
      </c>
      <c r="D18">
        <f t="shared" si="0"/>
        <v>48313</v>
      </c>
      <c r="E18">
        <f t="shared" si="0"/>
        <v>36412</v>
      </c>
      <c r="F18">
        <f t="shared" si="0"/>
        <v>40460</v>
      </c>
      <c r="G18">
        <f t="shared" si="0"/>
        <v>39602</v>
      </c>
      <c r="H18">
        <f t="shared" si="0"/>
        <v>40389</v>
      </c>
      <c r="I18">
        <f t="shared" si="0"/>
        <v>33454</v>
      </c>
      <c r="J18">
        <f t="shared" si="0"/>
        <v>34598</v>
      </c>
      <c r="K18">
        <f t="shared" si="0"/>
        <v>28882</v>
      </c>
      <c r="L18">
        <f t="shared" si="0"/>
        <v>41620</v>
      </c>
      <c r="M18">
        <f t="shared" si="0"/>
        <v>37843</v>
      </c>
      <c r="N18">
        <f t="shared" si="0"/>
        <v>33392</v>
      </c>
      <c r="O18">
        <f t="shared" si="0"/>
        <v>24176</v>
      </c>
      <c r="P18">
        <f t="shared" si="0"/>
        <v>30402</v>
      </c>
      <c r="Q18">
        <f t="shared" si="0"/>
        <v>13600</v>
      </c>
      <c r="R18">
        <f t="shared" si="0"/>
        <v>10016</v>
      </c>
      <c r="S18">
        <f t="shared" si="0"/>
        <v>15196</v>
      </c>
      <c r="T18">
        <f t="shared" si="0"/>
        <v>15577</v>
      </c>
      <c r="U18">
        <f t="shared" si="0"/>
        <v>11748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2C0AE-8781-46A1-A775-122EF61E46E2}">
  <dimension ref="A1:U18"/>
  <sheetViews>
    <sheetView topLeftCell="C45" workbookViewId="0">
      <selection activeCell="B2" sqref="B2:U17"/>
    </sheetView>
  </sheetViews>
  <sheetFormatPr defaultRowHeight="14.5"/>
  <sheetData>
    <row r="1" spans="1:21">
      <c r="A1" s="1"/>
      <c r="B1" s="1">
        <v>2005</v>
      </c>
      <c r="C1" s="2">
        <v>2006</v>
      </c>
      <c r="D1" s="1">
        <v>2007</v>
      </c>
      <c r="E1" s="2">
        <v>2008</v>
      </c>
      <c r="F1" s="1">
        <v>2009</v>
      </c>
      <c r="G1" s="2">
        <v>2010</v>
      </c>
      <c r="H1" s="1">
        <v>2011</v>
      </c>
      <c r="I1" s="2">
        <v>2012</v>
      </c>
      <c r="J1" s="2">
        <v>2013</v>
      </c>
      <c r="K1" s="2">
        <v>2014</v>
      </c>
      <c r="L1" s="3">
        <v>2015</v>
      </c>
      <c r="M1" s="2">
        <v>2016</v>
      </c>
      <c r="N1" s="3">
        <v>2017</v>
      </c>
      <c r="O1" s="2">
        <v>2018</v>
      </c>
      <c r="P1" s="3">
        <v>2019</v>
      </c>
      <c r="Q1" s="2">
        <v>2020</v>
      </c>
      <c r="R1" s="3">
        <v>2021</v>
      </c>
      <c r="S1" s="2">
        <v>2022</v>
      </c>
      <c r="T1" s="3">
        <v>2023</v>
      </c>
      <c r="U1" s="2">
        <v>2024</v>
      </c>
    </row>
    <row r="2" spans="1:21">
      <c r="A2">
        <v>0</v>
      </c>
      <c r="B2">
        <f>varicella16!B2/varicella16!B$18</f>
        <v>3.4500456204379561E-2</v>
      </c>
      <c r="C2">
        <f>varicella16!C2/varicella16!C$18</f>
        <v>3.4050720262227205E-2</v>
      </c>
      <c r="D2">
        <f>varicella16!D2/varicella16!D$18</f>
        <v>3.3800426386272849E-2</v>
      </c>
      <c r="E2">
        <f>varicella16!E2/varicella16!E$18</f>
        <v>3.3038558716906516E-2</v>
      </c>
      <c r="F2">
        <f>varicella16!F2/varicella16!F$18</f>
        <v>3.5664854176964904E-2</v>
      </c>
      <c r="G2">
        <f>varicella16!G2/varicella16!G$18</f>
        <v>3.3331649916670876E-2</v>
      </c>
      <c r="H2">
        <f>varicella16!H2/varicella16!H$18</f>
        <v>3.0825224689890813E-2</v>
      </c>
      <c r="I2">
        <f>varicella16!I2/varicella16!I$18</f>
        <v>3.1984217133975014E-2</v>
      </c>
      <c r="J2">
        <f>varicella16!J2/varicella16!J$18</f>
        <v>3.6187062836002079E-2</v>
      </c>
      <c r="K2">
        <f>varicella16!K2/varicella16!K$18</f>
        <v>3.6424070355238557E-2</v>
      </c>
      <c r="L2">
        <f>varicella16!L2/varicella16!L$18</f>
        <v>3.7890437289764538E-2</v>
      </c>
      <c r="M2">
        <f>varicella16!M2/varicella16!M$18</f>
        <v>4.0113098855798959E-2</v>
      </c>
      <c r="N2">
        <f>varicella16!N2/varicella16!N$18</f>
        <v>4.0219214183037852E-2</v>
      </c>
      <c r="O2">
        <f>varicella16!O2/varicella16!O$18</f>
        <v>3.9212442091330242E-2</v>
      </c>
      <c r="P2">
        <f>varicella16!P2/varicella16!P$18</f>
        <v>4.1970922965594369E-2</v>
      </c>
      <c r="Q2">
        <f>varicella16!Q2/varicella16!Q$18</f>
        <v>5.1691176470588233E-2</v>
      </c>
      <c r="R2">
        <f>varicella16!R2/varicella16!R$18</f>
        <v>5.231629392971246E-2</v>
      </c>
      <c r="S2">
        <f>varicella16!S2/varicella16!S$18</f>
        <v>3.9615688339036587E-2</v>
      </c>
      <c r="T2">
        <f>varicella16!T2/varicella16!T$18</f>
        <v>3.6464017461642163E-2</v>
      </c>
      <c r="U2">
        <f>varicella16!U2/varicella16!U$18</f>
        <v>3.975144705481784E-2</v>
      </c>
    </row>
    <row r="3" spans="1:21">
      <c r="A3">
        <v>1</v>
      </c>
      <c r="B3">
        <f>varicella16!B3/varicella16!B$18</f>
        <v>5.4174270072992699E-2</v>
      </c>
      <c r="C3">
        <f>varicella16!C3/varicella16!C$18</f>
        <v>5.4235314413870438E-2</v>
      </c>
      <c r="D3">
        <f>varicella16!D3/varicella16!D$18</f>
        <v>5.5057644940285221E-2</v>
      </c>
      <c r="E3">
        <f>varicella16!E3/varicella16!E$18</f>
        <v>5.5860705262001535E-2</v>
      </c>
      <c r="F3">
        <f>varicella16!F3/varicella16!F$18</f>
        <v>5.9243697478991594E-2</v>
      </c>
      <c r="G3">
        <f>varicella16!G3/varicella16!G$18</f>
        <v>5.8380889854047775E-2</v>
      </c>
      <c r="H3">
        <f>varicella16!H3/varicella16!H$18</f>
        <v>5.7986085320260464E-2</v>
      </c>
      <c r="I3">
        <f>varicella16!I3/varicella16!I$18</f>
        <v>5.0816045913792074E-2</v>
      </c>
      <c r="J3">
        <f>varicella16!J3/varicella16!J$18</f>
        <v>5.7459968784322794E-2</v>
      </c>
      <c r="K3">
        <f>varicella16!K3/varicella16!K$18</f>
        <v>5.7544491378713383E-2</v>
      </c>
      <c r="L3">
        <f>varicella16!L3/varicella16!L$18</f>
        <v>6.2013455069678036E-2</v>
      </c>
      <c r="M3">
        <f>varicella16!M3/varicella16!M$18</f>
        <v>6.5348941680099359E-2</v>
      </c>
      <c r="N3">
        <f>varicella16!N3/varicella16!N$18</f>
        <v>5.941542884523239E-2</v>
      </c>
      <c r="O3">
        <f>varicella16!O3/varicella16!O$18</f>
        <v>5.8653209794837853E-2</v>
      </c>
      <c r="P3">
        <f>varicella16!P3/varicella16!P$18</f>
        <v>5.5785803565554896E-2</v>
      </c>
      <c r="Q3">
        <f>varicella16!Q3/varicella16!Q$18</f>
        <v>4.1397058823529412E-2</v>
      </c>
      <c r="R3">
        <f>varicella16!R3/varicella16!R$18</f>
        <v>2.0467252396166133E-2</v>
      </c>
      <c r="S3">
        <f>varicella16!S3/varicella16!S$18</f>
        <v>2.0400105290866017E-2</v>
      </c>
      <c r="T3">
        <f>varicella16!T3/varicella16!T$18</f>
        <v>1.5856711818707066E-2</v>
      </c>
      <c r="U3">
        <f>varicella16!U3/varicella16!U$18</f>
        <v>1.2002042900919305E-2</v>
      </c>
    </row>
    <row r="4" spans="1:21">
      <c r="A4">
        <v>2</v>
      </c>
      <c r="B4">
        <f>varicella16!B4/varicella16!B$18</f>
        <v>7.2973692214111915E-2</v>
      </c>
      <c r="C4">
        <f>varicella16!C4/varicella16!C$18</f>
        <v>7.2284999568705252E-2</v>
      </c>
      <c r="D4">
        <f>varicella16!D4/varicella16!D$18</f>
        <v>7.4534804296980103E-2</v>
      </c>
      <c r="E4">
        <f>varicella16!E4/varicella16!E$18</f>
        <v>7.6458310447105354E-2</v>
      </c>
      <c r="F4">
        <f>varicella16!F4/varicella16!F$18</f>
        <v>7.7978250123578841E-2</v>
      </c>
      <c r="G4">
        <f>varicella16!G4/varicella16!G$18</f>
        <v>7.7925357305186613E-2</v>
      </c>
      <c r="H4">
        <f>varicella16!H4/varicella16!H$18</f>
        <v>8.5072668300774965E-2</v>
      </c>
      <c r="I4">
        <f>varicella16!I4/varicella16!I$18</f>
        <v>7.8884438333233692E-2</v>
      </c>
      <c r="J4">
        <f>varicella16!J4/varicella16!J$18</f>
        <v>7.7027573848199318E-2</v>
      </c>
      <c r="K4">
        <f>varicella16!K4/varicella16!K$18</f>
        <v>7.9911363478983449E-2</v>
      </c>
      <c r="L4">
        <f>varicella16!L4/varicella16!L$18</f>
        <v>9.0028832292167224E-2</v>
      </c>
      <c r="M4">
        <f>varicella16!M4/varicella16!M$18</f>
        <v>8.4824141849219145E-2</v>
      </c>
      <c r="N4">
        <f>varicella16!N4/varicella16!N$18</f>
        <v>8.0408481073310972E-2</v>
      </c>
      <c r="O4">
        <f>varicella16!O4/varicella16!O$18</f>
        <v>7.5446724023825282E-2</v>
      </c>
      <c r="P4">
        <f>varicella16!P4/varicella16!P$18</f>
        <v>7.2528123149792775E-2</v>
      </c>
      <c r="Q4">
        <f>varicella16!Q4/varicella16!Q$18</f>
        <v>7.3161764705882357E-2</v>
      </c>
      <c r="R4">
        <f>varicella16!R4/varicella16!R$18</f>
        <v>2.0966453674121407E-2</v>
      </c>
      <c r="S4">
        <f>varicella16!S4/varicella16!S$18</f>
        <v>6.6464859173466706E-3</v>
      </c>
      <c r="T4">
        <f>varicella16!T4/varicella16!T$18</f>
        <v>5.970340887205495E-3</v>
      </c>
      <c r="U4">
        <f>varicella16!U4/varicella16!U$18</f>
        <v>4.8518896833503579E-3</v>
      </c>
    </row>
    <row r="5" spans="1:21">
      <c r="A5">
        <v>3</v>
      </c>
      <c r="B5">
        <f>varicella16!B5/varicella16!B$18</f>
        <v>0.15164993917274938</v>
      </c>
      <c r="C5">
        <f>varicella16!C5/varicella16!C$18</f>
        <v>0.15694815837143103</v>
      </c>
      <c r="D5">
        <f>varicella16!D5/varicella16!D$18</f>
        <v>0.1533748680479374</v>
      </c>
      <c r="E5">
        <f>varicella16!E5/varicella16!E$18</f>
        <v>0.15577282214654509</v>
      </c>
      <c r="F5">
        <f>varicella16!F5/varicella16!F$18</f>
        <v>0.16356895699456253</v>
      </c>
      <c r="G5">
        <f>varicella16!G5/varicella16!G$18</f>
        <v>0.16925912832685219</v>
      </c>
      <c r="H5">
        <f>varicella16!H5/varicella16!H$18</f>
        <v>0.1648221050285969</v>
      </c>
      <c r="I5">
        <f>varicella16!I5/varicella16!I$18</f>
        <v>0.17157888443833325</v>
      </c>
      <c r="J5">
        <f>varicella16!J5/varicella16!J$18</f>
        <v>0.16740852072374127</v>
      </c>
      <c r="K5">
        <f>varicella16!K5/varicella16!K$18</f>
        <v>0.16318122013710962</v>
      </c>
      <c r="L5">
        <f>varicella16!L5/varicella16!L$18</f>
        <v>0.1679961556943777</v>
      </c>
      <c r="M5">
        <f>varicella16!M5/varicella16!M$18</f>
        <v>0.16742858652855216</v>
      </c>
      <c r="N5">
        <f>varicella16!N5/varicella16!N$18</f>
        <v>0.15818160038332535</v>
      </c>
      <c r="O5">
        <f>varicella16!O5/varicella16!O$18</f>
        <v>0.16284745201853076</v>
      </c>
      <c r="P5">
        <f>varicella16!P5/varicella16!P$18</f>
        <v>0.14574699032958358</v>
      </c>
      <c r="Q5">
        <f>varicella16!Q5/varicella16!Q$18</f>
        <v>0.14124999999999999</v>
      </c>
      <c r="R5">
        <f>varicella16!R5/varicella16!R$18</f>
        <v>0.11611421725239617</v>
      </c>
      <c r="S5">
        <f>varicella16!S5/varicella16!S$18</f>
        <v>4.1392471703079761E-2</v>
      </c>
      <c r="T5">
        <f>varicella16!T5/varicella16!T$18</f>
        <v>9.3085960069332983E-3</v>
      </c>
      <c r="U5">
        <f>varicella16!U5/varicella16!U$18</f>
        <v>7.4906367041198503E-3</v>
      </c>
    </row>
    <row r="6" spans="1:21">
      <c r="A6">
        <v>4</v>
      </c>
      <c r="B6">
        <f>varicella16!B6/varicella16!B$18</f>
        <v>0.17020225060827252</v>
      </c>
      <c r="C6">
        <f>varicella16!C6/varicella16!C$18</f>
        <v>0.17527818511170534</v>
      </c>
      <c r="D6">
        <f>varicella16!D6/varicella16!D$18</f>
        <v>0.1696230828141494</v>
      </c>
      <c r="E6">
        <f>varicella16!E6/varicella16!E$18</f>
        <v>0.17046578051191916</v>
      </c>
      <c r="F6">
        <f>varicella16!F6/varicella16!F$18</f>
        <v>0.17246663371230844</v>
      </c>
      <c r="G6">
        <f>varicella16!G6/varicella16!G$18</f>
        <v>0.179738397050654</v>
      </c>
      <c r="H6">
        <f>varicella16!H6/varicella16!H$18</f>
        <v>0.17935576518358959</v>
      </c>
      <c r="I6">
        <f>varicella16!I6/varicella16!I$18</f>
        <v>0.1877503437556047</v>
      </c>
      <c r="J6">
        <f>varicella16!J6/varicella16!J$18</f>
        <v>0.18460604659228858</v>
      </c>
      <c r="K6">
        <f>varicella16!K6/varicella16!K$18</f>
        <v>0.18090852434041965</v>
      </c>
      <c r="L6">
        <f>varicella16!L6/varicella16!L$18</f>
        <v>0.17722248918789044</v>
      </c>
      <c r="M6">
        <f>varicella16!M6/varicella16!M$18</f>
        <v>0.17279285468911026</v>
      </c>
      <c r="N6">
        <f>varicella16!N6/varicella16!N$18</f>
        <v>0.17306540488739819</v>
      </c>
      <c r="O6">
        <f>varicella16!O6/varicella16!O$18</f>
        <v>0.16685969556585042</v>
      </c>
      <c r="P6">
        <f>varicella16!P6/varicella16!P$18</f>
        <v>0.16383790540096047</v>
      </c>
      <c r="Q6">
        <f>varicella16!Q6/varicella16!Q$18</f>
        <v>0.15794117647058822</v>
      </c>
      <c r="R6">
        <f>varicella16!R6/varicella16!R$18</f>
        <v>0.15515175718849841</v>
      </c>
      <c r="S6">
        <f>varicella16!S6/varicella16!S$18</f>
        <v>0.13523295604106345</v>
      </c>
      <c r="T6">
        <f>varicella16!T6/varicella16!T$18</f>
        <v>4.1792386210438466E-2</v>
      </c>
      <c r="U6">
        <f>varicella16!U6/varicella16!U$18</f>
        <v>9.7037793667007158E-3</v>
      </c>
    </row>
    <row r="7" spans="1:21">
      <c r="A7">
        <v>5</v>
      </c>
      <c r="B7">
        <f>varicella16!B7/varicella16!B$18</f>
        <v>0.14963503649635038</v>
      </c>
      <c r="C7">
        <f>varicella16!C7/varicella16!C$18</f>
        <v>0.14586388337790046</v>
      </c>
      <c r="D7">
        <f>varicella16!D7/varicella16!D$18</f>
        <v>0.14679278869041459</v>
      </c>
      <c r="E7">
        <f>varicella16!E7/varicella16!E$18</f>
        <v>0.14558387344831375</v>
      </c>
      <c r="F7">
        <f>varicella16!F7/varicella16!F$18</f>
        <v>0.14085516559565003</v>
      </c>
      <c r="G7">
        <f>varicella16!G7/varicella16!G$18</f>
        <v>0.1542598858643503</v>
      </c>
      <c r="H7">
        <f>varicella16!H7/varicella16!H$18</f>
        <v>0.15046175938993289</v>
      </c>
      <c r="I7">
        <f>varicella16!I7/varicella16!I$18</f>
        <v>0.15364380940993602</v>
      </c>
      <c r="J7">
        <f>varicella16!J7/varicella16!J$18</f>
        <v>0.15128042083357421</v>
      </c>
      <c r="K7">
        <f>varicella16!K7/varicella16!K$18</f>
        <v>0.15788380306072985</v>
      </c>
      <c r="L7">
        <f>varicella16!L7/varicella16!L$18</f>
        <v>0.15711196540124939</v>
      </c>
      <c r="M7">
        <f>varicella16!M7/varicella16!M$18</f>
        <v>0.14282694289564782</v>
      </c>
      <c r="N7">
        <f>varicella16!N7/varicella16!N$18</f>
        <v>0.14204000958313368</v>
      </c>
      <c r="O7">
        <f>varicella16!O7/varicella16!O$18</f>
        <v>0.14423395102581071</v>
      </c>
      <c r="P7">
        <f>varicella16!P7/varicella16!P$18</f>
        <v>0.14989145450957173</v>
      </c>
      <c r="Q7">
        <f>varicella16!Q7/varicella16!Q$18</f>
        <v>0.14367647058823529</v>
      </c>
      <c r="R7">
        <f>varicella16!R7/varicella16!R$18</f>
        <v>0.15664936102236421</v>
      </c>
      <c r="S7">
        <f>varicella16!S7/varicella16!S$18</f>
        <v>0.15300078968149514</v>
      </c>
      <c r="T7">
        <f>varicella16!T7/varicella16!T$18</f>
        <v>0.13725364319188546</v>
      </c>
      <c r="U7">
        <f>varicella16!U7/varicella16!U$18</f>
        <v>4.0177051413006468E-2</v>
      </c>
    </row>
    <row r="8" spans="1:21">
      <c r="A8">
        <v>6</v>
      </c>
      <c r="B8">
        <f>varicella16!B8/varicella16!B$18</f>
        <v>0.1078353102189781</v>
      </c>
      <c r="C8">
        <f>varicella16!C8/varicella16!C$18</f>
        <v>0.10471836453032002</v>
      </c>
      <c r="D8">
        <f>varicella16!D8/varicella16!D$18</f>
        <v>0.10655517148593546</v>
      </c>
      <c r="E8">
        <f>varicella16!E8/varicella16!E$18</f>
        <v>0.10471822476106778</v>
      </c>
      <c r="F8">
        <f>varicella16!F8/varicella16!F$18</f>
        <v>0.10659911023232822</v>
      </c>
      <c r="G8">
        <f>varicella16!G8/varicella16!G$18</f>
        <v>0.10395939599010151</v>
      </c>
      <c r="H8">
        <f>varicella16!H8/varicella16!H$18</f>
        <v>0.10230508306717176</v>
      </c>
      <c r="I8">
        <f>varicella16!I8/varicella16!I$18</f>
        <v>0.1050995396664076</v>
      </c>
      <c r="J8">
        <f>varicella16!J8/varicella16!J$18</f>
        <v>0.10954390427192323</v>
      </c>
      <c r="K8">
        <f>varicella16!K8/varicella16!K$18</f>
        <v>0.11079565127068762</v>
      </c>
      <c r="L8">
        <f>varicella16!L8/varicella16!L$18</f>
        <v>0.10867371456030754</v>
      </c>
      <c r="M8">
        <f>varicella16!M8/varicella16!M$18</f>
        <v>0.10717966334592924</v>
      </c>
      <c r="N8">
        <f>varicella16!N8/varicella16!N$18</f>
        <v>0.10361763296597988</v>
      </c>
      <c r="O8">
        <f>varicella16!O8/varicella16!O$18</f>
        <v>0.10626240900066182</v>
      </c>
      <c r="P8">
        <f>varicella16!P8/varicella16!P$18</f>
        <v>0.1171633445168081</v>
      </c>
      <c r="Q8">
        <f>varicella16!Q8/varicella16!Q$18</f>
        <v>0.11227941176470588</v>
      </c>
      <c r="R8">
        <f>varicella16!R8/varicella16!R$18</f>
        <v>0.14037539936102236</v>
      </c>
      <c r="S8">
        <f>varicella16!S8/varicella16!S$18</f>
        <v>0.13970781784680178</v>
      </c>
      <c r="T8">
        <f>varicella16!T8/varicella16!T$18</f>
        <v>0.15651280734416126</v>
      </c>
      <c r="U8">
        <f>varicella16!U8/varicella16!U$18</f>
        <v>0.13747020769492679</v>
      </c>
    </row>
    <row r="9" spans="1:21">
      <c r="A9">
        <v>7</v>
      </c>
      <c r="B9">
        <f>varicella16!B9/varicella16!B$18</f>
        <v>6.9438108272506086E-2</v>
      </c>
      <c r="C9">
        <f>varicella16!C9/varicella16!C$18</f>
        <v>6.2322090916932631E-2</v>
      </c>
      <c r="D9">
        <f>varicella16!D9/varicella16!D$18</f>
        <v>6.1432740670212989E-2</v>
      </c>
      <c r="E9">
        <f>varicella16!E9/varicella16!E$18</f>
        <v>6.4566626386905412E-2</v>
      </c>
      <c r="F9">
        <f>varicella16!F9/varicella16!F$18</f>
        <v>6.0108749382105781E-2</v>
      </c>
      <c r="G9">
        <f>varicella16!G9/varicella16!G$18</f>
        <v>5.8885914852785215E-2</v>
      </c>
      <c r="H9">
        <f>varicella16!H9/varicella16!H$18</f>
        <v>5.848126965262819E-2</v>
      </c>
      <c r="I9">
        <f>varicella16!I9/varicella16!I$18</f>
        <v>5.8946613259998802E-2</v>
      </c>
      <c r="J9">
        <f>varicella16!J9/varicella16!J$18</f>
        <v>6.1419735244811841E-2</v>
      </c>
      <c r="K9">
        <f>varicella16!K9/varicella16!K$18</f>
        <v>6.2599542967938515E-2</v>
      </c>
      <c r="L9">
        <f>varicella16!L9/varicella16!L$18</f>
        <v>6.1292647765497359E-2</v>
      </c>
      <c r="M9">
        <f>varicella16!M9/varicella16!M$18</f>
        <v>6.1623021430647677E-2</v>
      </c>
      <c r="N9">
        <f>varicella16!N9/varicella16!N$18</f>
        <v>6.4296837565884044E-2</v>
      </c>
      <c r="O9">
        <f>varicella16!O9/varicella16!O$18</f>
        <v>6.5891793514228983E-2</v>
      </c>
      <c r="P9">
        <f>varicella16!P9/varicella16!P$18</f>
        <v>7.1936056838365903E-2</v>
      </c>
      <c r="Q9">
        <f>varicella16!Q9/varicella16!Q$18</f>
        <v>8.2058823529411767E-2</v>
      </c>
      <c r="R9">
        <f>varicella16!R9/varicella16!R$18</f>
        <v>9.8742012779552718E-2</v>
      </c>
      <c r="S9">
        <f>varicella16!S9/varicella16!S$18</f>
        <v>0.12937615161884705</v>
      </c>
      <c r="T9">
        <f>varicella16!T9/varicella16!T$18</f>
        <v>0.16306092315593504</v>
      </c>
      <c r="U9">
        <f>varicella16!U9/varicella16!U$18</f>
        <v>0.19773578481443649</v>
      </c>
    </row>
    <row r="10" spans="1:21">
      <c r="A10">
        <v>8</v>
      </c>
      <c r="B10">
        <f>varicella16!B10/varicella16!B$18</f>
        <v>4.6627889294403896E-2</v>
      </c>
      <c r="C10">
        <f>varicella16!C10/varicella16!C$18</f>
        <v>4.3517639955145349E-2</v>
      </c>
      <c r="D10">
        <f>varicella16!D10/varicella16!D$18</f>
        <v>4.5391509531596048E-2</v>
      </c>
      <c r="E10">
        <f>varicella16!E10/varicella16!E$18</f>
        <v>4.182687026255081E-2</v>
      </c>
      <c r="F10">
        <f>varicella16!F10/varicella16!F$18</f>
        <v>4.0113692535837867E-2</v>
      </c>
      <c r="G10">
        <f>varicella16!G10/varicella16!G$18</f>
        <v>3.6967829907580428E-2</v>
      </c>
      <c r="H10">
        <f>varicella16!H10/varicella16!H$18</f>
        <v>3.9144321473668572E-2</v>
      </c>
      <c r="I10">
        <f>varicella16!I10/varicella16!I$18</f>
        <v>4.0742512106175646E-2</v>
      </c>
      <c r="J10">
        <f>varicella16!J10/varicella16!J$18</f>
        <v>3.6649517313139486E-2</v>
      </c>
      <c r="K10">
        <f>varicella16!K10/varicella16!K$18</f>
        <v>3.6978048611591992E-2</v>
      </c>
      <c r="L10">
        <f>varicella16!L10/varicella16!L$18</f>
        <v>3.8659298414223928E-2</v>
      </c>
      <c r="M10">
        <f>varicella16!M10/varicella16!M$18</f>
        <v>4.1328647305974686E-2</v>
      </c>
      <c r="N10">
        <f>varicella16!N10/varicella16!N$18</f>
        <v>4.9622664111164352E-2</v>
      </c>
      <c r="O10">
        <f>varicella16!O10/varicella16!O$18</f>
        <v>5.0421906022501656E-2</v>
      </c>
      <c r="P10">
        <f>varicella16!P10/varicella16!P$18</f>
        <v>4.6674560884152359E-2</v>
      </c>
      <c r="Q10">
        <f>varicella16!Q10/varicella16!Q$18</f>
        <v>5.2058823529411762E-2</v>
      </c>
      <c r="R10">
        <f>varicella16!R10/varicella16!R$18</f>
        <v>6.6992811501597443E-2</v>
      </c>
      <c r="S10">
        <f>varicella16!S10/varicella16!S$18</f>
        <v>0.10430376414846013</v>
      </c>
      <c r="T10">
        <f>varicella16!T10/varicella16!T$18</f>
        <v>0.12698208897733837</v>
      </c>
      <c r="U10">
        <f>varicella16!U10/varicella16!U$18</f>
        <v>0.15781409601634322</v>
      </c>
    </row>
    <row r="11" spans="1:21">
      <c r="A11">
        <v>9</v>
      </c>
      <c r="B11">
        <f>varicella16!B11/varicella16!B$18</f>
        <v>3.4500456204379561E-2</v>
      </c>
      <c r="C11">
        <f>varicella16!C11/varicella16!C$18</f>
        <v>3.2239282325541276E-2</v>
      </c>
      <c r="D11">
        <f>varicella16!D11/varicella16!D$18</f>
        <v>3.2662016434500028E-2</v>
      </c>
      <c r="E11">
        <f>varicella16!E11/varicella16!E$18</f>
        <v>2.982533230803032E-2</v>
      </c>
      <c r="F11">
        <f>varicella16!F11/varicella16!F$18</f>
        <v>2.7953534354918437E-2</v>
      </c>
      <c r="G11">
        <f>varicella16!G11/varicella16!G$18</f>
        <v>2.5882531185293673E-2</v>
      </c>
      <c r="H11">
        <f>varicella16!H11/varicella16!H$18</f>
        <v>2.9661541508826661E-2</v>
      </c>
      <c r="I11">
        <f>varicella16!I11/varicella16!I$18</f>
        <v>2.4033000538052251E-2</v>
      </c>
      <c r="J11">
        <f>varicella16!J11/varicella16!J$18</f>
        <v>2.5724030290768252E-2</v>
      </c>
      <c r="K11">
        <f>varicella16!K11/varicella16!K$18</f>
        <v>2.2401495741292153E-2</v>
      </c>
      <c r="L11">
        <f>varicella16!L11/varicella16!L$18</f>
        <v>2.4939932724651611E-2</v>
      </c>
      <c r="M11">
        <f>varicella16!M11/varicella16!M$18</f>
        <v>2.8221864017123378E-2</v>
      </c>
      <c r="N11">
        <f>varicella16!N11/varicella16!N$18</f>
        <v>3.1235026353617634E-2</v>
      </c>
      <c r="O11">
        <f>varicella16!O11/varicella16!O$18</f>
        <v>3.2428855062872269E-2</v>
      </c>
      <c r="P11">
        <f>varicella16!P11/varicella16!P$18</f>
        <v>3.2826787711334779E-2</v>
      </c>
      <c r="Q11">
        <f>varicella16!Q11/varicella16!Q$18</f>
        <v>3.8235294117647062E-2</v>
      </c>
      <c r="R11">
        <f>varicella16!R11/varicella16!R$18</f>
        <v>4.1234025559105429E-2</v>
      </c>
      <c r="S11">
        <f>varicella16!S11/varicella16!S$18</f>
        <v>6.64648591734667E-2</v>
      </c>
      <c r="T11">
        <f>varicella16!T11/varicella16!T$18</f>
        <v>9.3021762855492074E-2</v>
      </c>
      <c r="U11">
        <f>varicella16!U11/varicella16!U$18</f>
        <v>0.12087163772557032</v>
      </c>
    </row>
    <row r="12" spans="1:21">
      <c r="A12">
        <v>10</v>
      </c>
      <c r="B12">
        <f>varicella16!B12/varicella16!B$18</f>
        <v>2.3608576642335767E-2</v>
      </c>
      <c r="C12">
        <f>varicella16!C12/varicella16!C$18</f>
        <v>2.5769861123091521E-2</v>
      </c>
      <c r="D12">
        <f>varicella16!D12/varicella16!D$18</f>
        <v>2.452755987001428E-2</v>
      </c>
      <c r="E12">
        <f>varicella16!E12/varicella16!E$18</f>
        <v>2.4579808854223881E-2</v>
      </c>
      <c r="F12">
        <f>varicella16!F12/varicella16!F$18</f>
        <v>2.2268907563025211E-2</v>
      </c>
      <c r="G12">
        <f>varicella16!G12/varicella16!G$18</f>
        <v>1.9468713701328216E-2</v>
      </c>
      <c r="H12">
        <f>varicella16!H12/varicella16!H$18</f>
        <v>1.8668449330263192E-2</v>
      </c>
      <c r="I12">
        <f>varicella16!I12/varicella16!I$18</f>
        <v>1.8174209362109166E-2</v>
      </c>
      <c r="J12">
        <f>varicella16!J12/varicella16!J$18</f>
        <v>1.8440372275854097E-2</v>
      </c>
      <c r="K12">
        <f>varicella16!K12/varicella16!K$18</f>
        <v>1.8004293331486738E-2</v>
      </c>
      <c r="L12">
        <f>varicella16!L12/varicella16!L$18</f>
        <v>1.6626621816434407E-2</v>
      </c>
      <c r="M12">
        <f>varicella16!M12/varicella16!M$18</f>
        <v>2.0109399360515815E-2</v>
      </c>
      <c r="N12">
        <f>varicella16!N12/varicella16!N$18</f>
        <v>2.2610206037374223E-2</v>
      </c>
      <c r="O12">
        <f>varicella16!O12/varicella16!O$18</f>
        <v>2.4032097948378559E-2</v>
      </c>
      <c r="P12">
        <f>varicella16!P12/varicella16!P$18</f>
        <v>2.6708769159923689E-2</v>
      </c>
      <c r="Q12">
        <f>varicella16!Q12/varicella16!Q$18</f>
        <v>2.3235294117647059E-2</v>
      </c>
      <c r="R12">
        <f>varicella16!R12/varicella16!R$18</f>
        <v>3.3346645367412144E-2</v>
      </c>
      <c r="S12">
        <f>varicella16!S12/varicella16!S$18</f>
        <v>4.5406685969992103E-2</v>
      </c>
      <c r="T12">
        <f>varicella16!T12/varicella16!T$18</f>
        <v>6.3876227771714714E-2</v>
      </c>
      <c r="U12">
        <f>varicella16!U12/varicella16!U$18</f>
        <v>8.3503575076608785E-2</v>
      </c>
    </row>
    <row r="13" spans="1:21">
      <c r="A13">
        <v>11</v>
      </c>
      <c r="B13">
        <f>varicella16!B13/varicella16!B$18</f>
        <v>1.5967153284671534E-2</v>
      </c>
      <c r="C13">
        <f>varicella16!C13/varicella16!C$18</f>
        <v>1.6906754075735358E-2</v>
      </c>
      <c r="D13">
        <f>varicella16!D13/varicella16!D$18</f>
        <v>1.8856208473909713E-2</v>
      </c>
      <c r="E13">
        <f>varicella16!E13/varicella16!E$18</f>
        <v>1.856530814017357E-2</v>
      </c>
      <c r="F13">
        <f>varicella16!F13/varicella16!F$18</f>
        <v>1.7399901136925359E-2</v>
      </c>
      <c r="G13">
        <f>varicella16!G13/varicella16!G$18</f>
        <v>1.3635674965910812E-2</v>
      </c>
      <c r="H13">
        <f>varicella16!H13/varicella16!H$18</f>
        <v>1.3691846789967566E-2</v>
      </c>
      <c r="I13">
        <f>varicella16!I13/varicella16!I$18</f>
        <v>1.4826328690141687E-2</v>
      </c>
      <c r="J13">
        <f>varicella16!J13/varicella16!J$18</f>
        <v>1.474073645875484E-2</v>
      </c>
      <c r="K13">
        <f>varicella16!K13/varicella16!K$18</f>
        <v>1.2118274357731459E-2</v>
      </c>
      <c r="L13">
        <f>varicella16!L13/varicella16!L$18</f>
        <v>1.1052378664103796E-2</v>
      </c>
      <c r="M13">
        <f>varicella16!M13/varicella16!M$18</f>
        <v>1.4137356974869857E-2</v>
      </c>
      <c r="N13">
        <f>varicella16!N13/varicella16!N$18</f>
        <v>1.443459511260182E-2</v>
      </c>
      <c r="O13">
        <f>varicella16!O13/varicella16!O$18</f>
        <v>1.5387160820648577E-2</v>
      </c>
      <c r="P13">
        <f>varicella16!P13/varicella16!P$18</f>
        <v>1.611736069995395E-2</v>
      </c>
      <c r="Q13">
        <f>varicella16!Q13/varicella16!Q$18</f>
        <v>1.7352941176470588E-2</v>
      </c>
      <c r="R13">
        <f>varicella16!R13/varicella16!R$18</f>
        <v>2.2863418530351436E-2</v>
      </c>
      <c r="S13">
        <f>varicella16!S13/varicella16!S$18</f>
        <v>2.9152408528560148E-2</v>
      </c>
      <c r="T13">
        <f>varicella16!T13/varicella16!T$18</f>
        <v>4.2819541631893179E-2</v>
      </c>
      <c r="U13">
        <f>varicella16!U13/varicella16!U$18</f>
        <v>5.5243445692883898E-2</v>
      </c>
    </row>
    <row r="14" spans="1:21">
      <c r="A14">
        <v>12</v>
      </c>
      <c r="B14">
        <f>varicella16!B14/varicella16!B$18</f>
        <v>1.1291058394160584E-2</v>
      </c>
      <c r="C14">
        <f>varicella16!C14/varicella16!C$18</f>
        <v>1.3068230828948504E-2</v>
      </c>
      <c r="D14">
        <f>varicella16!D14/varicella16!D$18</f>
        <v>1.5130503177198683E-2</v>
      </c>
      <c r="E14">
        <f>varicella16!E14/varicella16!E$18</f>
        <v>1.5626716467098758E-2</v>
      </c>
      <c r="F14">
        <f>varicella16!F14/varicella16!F$18</f>
        <v>1.3198220464656451E-2</v>
      </c>
      <c r="G14">
        <f>varicella16!G14/varicella16!G$18</f>
        <v>1.29286399676784E-2</v>
      </c>
      <c r="H14">
        <f>varicella16!H14/varicella16!H$18</f>
        <v>1.1092129045037015E-2</v>
      </c>
      <c r="I14">
        <f>varicella16!I14/varicella16!I$18</f>
        <v>1.0193100974472409E-2</v>
      </c>
      <c r="J14">
        <f>varicella16!J14/varicella16!J$18</f>
        <v>1.1330134689866466E-2</v>
      </c>
      <c r="K14">
        <f>varicella16!K14/varicella16!K$18</f>
        <v>9.9369849733397971E-3</v>
      </c>
      <c r="L14">
        <f>varicella16!L14/varicella16!L$18</f>
        <v>8.6737145603075442E-3</v>
      </c>
      <c r="M14">
        <f>varicella16!M14/varicella16!M$18</f>
        <v>1.0358586792801839E-2</v>
      </c>
      <c r="N14">
        <f>varicella16!N14/varicella16!N$18</f>
        <v>1.1619549592716818E-2</v>
      </c>
      <c r="O14">
        <f>varicella16!O14/varicella16!O$18</f>
        <v>1.1705823957643944E-2</v>
      </c>
      <c r="P14">
        <f>varicella16!P14/varicella16!P$18</f>
        <v>1.2828103414249063E-2</v>
      </c>
      <c r="Q14">
        <f>varicella16!Q14/varicella16!Q$18</f>
        <v>1.375E-2</v>
      </c>
      <c r="R14">
        <f>varicella16!R14/varicella16!R$18</f>
        <v>1.7571884984025558E-2</v>
      </c>
      <c r="S14">
        <f>varicella16!S14/varicella16!S$18</f>
        <v>2.1584627533561464E-2</v>
      </c>
      <c r="T14">
        <f>varicella16!T14/varicella16!T$18</f>
        <v>2.8888746228413687E-2</v>
      </c>
      <c r="U14">
        <f>varicella16!U14/varicella16!U$18</f>
        <v>4.1709227102485529E-2</v>
      </c>
    </row>
    <row r="15" spans="1:21">
      <c r="A15">
        <v>13</v>
      </c>
      <c r="B15">
        <f>varicella16!B15/varicella16!B$18</f>
        <v>1.1081964720194647E-2</v>
      </c>
      <c r="C15">
        <f>varicella16!C15/varicella16!C$18</f>
        <v>1.1256792892262573E-2</v>
      </c>
      <c r="D15">
        <f>varicella16!D15/varicella16!D$18</f>
        <v>1.1673876596361227E-2</v>
      </c>
      <c r="E15">
        <f>varicella16!E15/varicella16!E$18</f>
        <v>9.9967043831703829E-3</v>
      </c>
      <c r="F15">
        <f>varicella16!F15/varicella16!F$18</f>
        <v>1.2654473554127533E-2</v>
      </c>
      <c r="G15">
        <f>varicella16!G15/varicella16!G$18</f>
        <v>9.6207262259481851E-3</v>
      </c>
      <c r="H15">
        <f>varicella16!H15/varicella16!H$18</f>
        <v>9.5322983980786844E-3</v>
      </c>
      <c r="I15">
        <f>varicella16!I15/varicella16!I$18</f>
        <v>8.758294972200634E-3</v>
      </c>
      <c r="J15">
        <f>varicella16!J15/varicella16!J$18</f>
        <v>7.1680443956298051E-3</v>
      </c>
      <c r="K15">
        <f>varicella16!K15/varicella16!K$18</f>
        <v>8.5866629734782911E-3</v>
      </c>
      <c r="L15">
        <f>varicella16!L15/varicella16!L$18</f>
        <v>6.3911580970687169E-3</v>
      </c>
      <c r="M15">
        <f>varicella16!M15/varicella16!M$18</f>
        <v>7.5575403641360353E-3</v>
      </c>
      <c r="N15">
        <f>varicella16!N15/varicella16!N$18</f>
        <v>9.1938188787733591E-3</v>
      </c>
      <c r="O15">
        <f>varicella16!O15/varicella16!O$18</f>
        <v>9.5549305095962937E-3</v>
      </c>
      <c r="P15">
        <f>varicella16!P15/varicella16!P$18</f>
        <v>9.9006644299717127E-3</v>
      </c>
      <c r="Q15">
        <f>varicella16!Q15/varicella16!Q$18</f>
        <v>1.036764705882353E-2</v>
      </c>
      <c r="R15">
        <f>varicella16!R15/varicella16!R$18</f>
        <v>1.3777955271565496E-2</v>
      </c>
      <c r="S15">
        <f>varicella16!S15/varicella16!S$18</f>
        <v>1.8491708344301132E-2</v>
      </c>
      <c r="T15">
        <f>varicella16!T15/varicella16!T$18</f>
        <v>2.4523335687231175E-2</v>
      </c>
      <c r="U15">
        <f>varicella16!U15/varicella16!U$18</f>
        <v>2.7919645897173988E-2</v>
      </c>
    </row>
    <row r="16" spans="1:21">
      <c r="A16">
        <v>14</v>
      </c>
      <c r="B16">
        <f>varicella16!B16/varicella16!B$18</f>
        <v>6.8430656934306573E-3</v>
      </c>
      <c r="C16">
        <f>varicella16!C16/varicella16!C$18</f>
        <v>7.0301043733287331E-3</v>
      </c>
      <c r="D16">
        <f>varicella16!D16/varicella16!D$18</f>
        <v>8.6519156334733914E-3</v>
      </c>
      <c r="E16">
        <f>varicella16!E16/varicella16!E$18</f>
        <v>9.8593870152696907E-3</v>
      </c>
      <c r="F16">
        <f>varicella16!F16/varicella16!F$18</f>
        <v>8.5022244191794369E-3</v>
      </c>
      <c r="G16">
        <f>varicella16!G16/varicella16!G$18</f>
        <v>9.0146962274632592E-3</v>
      </c>
      <c r="H16">
        <f>varicella16!H16/varicella16!H$18</f>
        <v>7.8734308846468096E-3</v>
      </c>
      <c r="I16">
        <f>varicella16!I16/varicella16!I$18</f>
        <v>6.9647874693609139E-3</v>
      </c>
      <c r="J16">
        <f>varicella16!J16/varicella16!J$18</f>
        <v>6.4454592751026071E-3</v>
      </c>
      <c r="K16">
        <f>varicella16!K16/varicella16!K$18</f>
        <v>6.4053735890866282E-3</v>
      </c>
      <c r="L16">
        <f>varicella16!L16/varicella16!L$18</f>
        <v>4.8774627582892837E-3</v>
      </c>
      <c r="M16">
        <f>varicella16!M16/varicella16!M$18</f>
        <v>6.6855164759664935E-3</v>
      </c>
      <c r="N16">
        <f>varicella16!N16/varicella16!N$18</f>
        <v>7.2771921418303782E-3</v>
      </c>
      <c r="O16">
        <f>varicella16!O16/varicella16!O$18</f>
        <v>6.9490403706154863E-3</v>
      </c>
      <c r="P16">
        <f>varicella16!P16/varicella16!P$18</f>
        <v>6.44694427998158E-3</v>
      </c>
      <c r="Q16">
        <f>varicella16!Q16/varicella16!Q$18</f>
        <v>8.1617647058823527E-3</v>
      </c>
      <c r="R16">
        <f>varicella16!R16/varicella16!R$18</f>
        <v>8.0870607028753986E-3</v>
      </c>
      <c r="S16">
        <f>varicella16!S16/varicella16!S$18</f>
        <v>1.1779415635693603E-2</v>
      </c>
      <c r="T16">
        <f>varicella16!T16/varicella16!T$18</f>
        <v>1.5985106246388908E-2</v>
      </c>
      <c r="U16">
        <f>varicella16!U16/varicella16!U$18</f>
        <v>1.9237316990125979E-2</v>
      </c>
    </row>
    <row r="17" spans="1:21">
      <c r="A17" t="s">
        <v>4</v>
      </c>
      <c r="B17">
        <f>varicella16!B17/varicella16!B$18</f>
        <v>3.9670772506082724E-2</v>
      </c>
      <c r="C17">
        <f>varicella16!C17/varicella16!C$18</f>
        <v>4.4509617872854311E-2</v>
      </c>
      <c r="D17">
        <f>varicella16!D17/varicella16!D$18</f>
        <v>4.1934882950758597E-2</v>
      </c>
      <c r="E17">
        <f>varicella16!E17/varicella16!E$18</f>
        <v>4.3254970888718006E-2</v>
      </c>
      <c r="F17">
        <f>varicella16!F17/varicella16!F$18</f>
        <v>4.142362827483935E-2</v>
      </c>
      <c r="G17">
        <f>varicella16!G17/varicella16!G$18</f>
        <v>3.6740568658148579E-2</v>
      </c>
      <c r="H17">
        <f>varicella16!H17/varicella16!H$18</f>
        <v>4.1026021936665921E-2</v>
      </c>
      <c r="I17">
        <f>varicella16!I17/varicella16!I$18</f>
        <v>3.7603873976206133E-2</v>
      </c>
      <c r="J17">
        <f>varicella16!J17/varicella16!J$18</f>
        <v>3.4568472166021158E-2</v>
      </c>
      <c r="K17">
        <f>varicella16!K17/varicella16!K$18</f>
        <v>3.6320199432172288E-2</v>
      </c>
      <c r="L17">
        <f>varicella16!L17/varicella16!L$18</f>
        <v>2.6549735703988466E-2</v>
      </c>
      <c r="M17">
        <f>varicella16!M17/varicella16!M$18</f>
        <v>2.9463837433607271E-2</v>
      </c>
      <c r="N17">
        <f>varicella16!N17/varicella16!N$18</f>
        <v>3.2762338284619073E-2</v>
      </c>
      <c r="O17">
        <f>varicella16!O17/varicella16!O$18</f>
        <v>3.0112508272667107E-2</v>
      </c>
      <c r="P17">
        <f>varicella16!P17/varicella16!P$18</f>
        <v>2.9636208144201041E-2</v>
      </c>
      <c r="Q17">
        <f>varicella16!Q17/varicella16!Q$18</f>
        <v>3.3382352941176467E-2</v>
      </c>
      <c r="R17">
        <f>varicella16!R17/varicella16!R$18</f>
        <v>3.5343450479233228E-2</v>
      </c>
      <c r="S17">
        <f>varicella16!S17/varicella16!S$18</f>
        <v>3.744406422742827E-2</v>
      </c>
      <c r="T17">
        <f>varicella16!T17/varicella16!T$18</f>
        <v>3.7683764524619634E-2</v>
      </c>
      <c r="U17">
        <f>varicella16!U17/varicella16!U$18</f>
        <v>4.4518215866530472E-2</v>
      </c>
    </row>
    <row r="18" spans="1:21">
      <c r="B18">
        <f>SUM(B2:B17)</f>
        <v>0.99999999999999989</v>
      </c>
      <c r="C18">
        <f t="shared" ref="C18:U18" si="0">SUM(C2:C17)</f>
        <v>1</v>
      </c>
      <c r="D18">
        <f t="shared" si="0"/>
        <v>0.99999999999999989</v>
      </c>
      <c r="E18">
        <f t="shared" si="0"/>
        <v>0.99999999999999989</v>
      </c>
      <c r="F18">
        <f t="shared" si="0"/>
        <v>1</v>
      </c>
      <c r="G18">
        <f t="shared" si="0"/>
        <v>1</v>
      </c>
      <c r="H18">
        <f t="shared" si="0"/>
        <v>1</v>
      </c>
      <c r="I18">
        <f t="shared" si="0"/>
        <v>1</v>
      </c>
      <c r="J18">
        <f t="shared" si="0"/>
        <v>0.99999999999999978</v>
      </c>
      <c r="K18">
        <f t="shared" si="0"/>
        <v>1</v>
      </c>
      <c r="L18">
        <f t="shared" si="0"/>
        <v>0.99999999999999978</v>
      </c>
      <c r="M18">
        <f t="shared" si="0"/>
        <v>1</v>
      </c>
      <c r="N18">
        <f t="shared" si="0"/>
        <v>1</v>
      </c>
      <c r="O18">
        <f t="shared" si="0"/>
        <v>1.0000000000000002</v>
      </c>
      <c r="P18">
        <f t="shared" si="0"/>
        <v>1</v>
      </c>
      <c r="Q18">
        <f t="shared" si="0"/>
        <v>0.99999999999999989</v>
      </c>
      <c r="R18">
        <f t="shared" si="0"/>
        <v>0.99999999999999989</v>
      </c>
      <c r="S18">
        <f t="shared" si="0"/>
        <v>1</v>
      </c>
      <c r="T18">
        <f t="shared" si="0"/>
        <v>1</v>
      </c>
      <c r="U18">
        <f t="shared" si="0"/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02CDF-455F-473C-B37B-36BE1328B307}">
  <dimension ref="A1:U14"/>
  <sheetViews>
    <sheetView workbookViewId="0">
      <selection activeCell="B2" sqref="B2"/>
    </sheetView>
  </sheetViews>
  <sheetFormatPr defaultRowHeight="14.5"/>
  <sheetData>
    <row r="1" spans="1:21">
      <c r="A1" s="10"/>
      <c r="B1" s="10">
        <v>2005</v>
      </c>
      <c r="C1" s="13">
        <v>2006</v>
      </c>
      <c r="D1" s="10">
        <v>2007</v>
      </c>
      <c r="E1" s="13">
        <v>2008</v>
      </c>
      <c r="F1" s="10">
        <v>2009</v>
      </c>
      <c r="G1" s="13">
        <v>2010</v>
      </c>
      <c r="H1" s="10">
        <v>2011</v>
      </c>
      <c r="I1" s="13">
        <v>2012</v>
      </c>
      <c r="J1" s="13">
        <v>2013</v>
      </c>
      <c r="K1" s="13">
        <v>2014</v>
      </c>
      <c r="L1" s="14">
        <v>2015</v>
      </c>
      <c r="M1" s="13">
        <v>2016</v>
      </c>
      <c r="N1" s="14">
        <v>2017</v>
      </c>
      <c r="O1" s="13">
        <v>2018</v>
      </c>
      <c r="P1" s="14">
        <v>2019</v>
      </c>
      <c r="Q1" s="13">
        <v>2020</v>
      </c>
      <c r="R1" s="14">
        <v>2021</v>
      </c>
      <c r="S1" s="13">
        <v>2022</v>
      </c>
      <c r="T1" s="14">
        <v>2023</v>
      </c>
      <c r="U1" s="13">
        <v>2024</v>
      </c>
    </row>
    <row r="2" spans="1:21">
      <c r="A2" s="11">
        <v>0</v>
      </c>
      <c r="B2">
        <f>varicella!B2/'[1]population2005-2024'!$B$2</f>
        <v>1.8809264728742423E-2</v>
      </c>
      <c r="C2">
        <f>varicella!C2/'[1]population2005-2024'!$B$2</f>
        <v>1.6363542152443133E-2</v>
      </c>
      <c r="D2">
        <f>varicella!D2/'[1]population2005-2024'!$B$2</f>
        <v>1.6923156640240428E-2</v>
      </c>
      <c r="E2">
        <f>varicella!E2/'[1]population2005-2024'!$B$2</f>
        <v>1.2466967200373076E-2</v>
      </c>
      <c r="F2">
        <f>varicella!F2/'[1]population2005-2024'!$B$2</f>
        <v>1.4954142701694388E-2</v>
      </c>
      <c r="G2">
        <f>varicella!G2/'[1]population2005-2024'!$B$2</f>
        <v>1.3679465257267216E-2</v>
      </c>
      <c r="H2">
        <f>varicella!H2/'[1]population2005-2024'!$B$2</f>
        <v>1.2902222913104305E-2</v>
      </c>
      <c r="I2">
        <f>varicella!I2/'[1]population2005-2024'!$B$2</f>
        <v>1.108865744339085E-2</v>
      </c>
      <c r="J2">
        <f>varicella!J2/'[1]population2005-2024'!$B$2</f>
        <v>1.2974765531892845E-2</v>
      </c>
      <c r="K2">
        <f>varicella!K2/'[1]population2005-2024'!$B$2</f>
        <v>1.0902119280791751E-2</v>
      </c>
      <c r="L2">
        <f>varicella!L2/'[1]population2005-2024'!$B$2</f>
        <v>1.6342815689932122E-2</v>
      </c>
      <c r="M2">
        <f>varicella!M2/'[1]population2005-2024'!$B$2</f>
        <v>1.5731385045857298E-2</v>
      </c>
      <c r="N2">
        <f>varicella!N2/'[1]population2005-2024'!$B$2</f>
        <v>1.3917819576143842E-2</v>
      </c>
      <c r="O2">
        <f>varicella!O2/'[1]population2005-2024'!$B$2</f>
        <v>9.8243432302191815E-3</v>
      </c>
      <c r="P2">
        <f>varicella!P2/'[1]population2005-2024'!$B$2</f>
        <v>1.3223483082024975E-2</v>
      </c>
      <c r="Q2">
        <f>varicella!Q2/'[1]population2005-2024'!$B$2</f>
        <v>7.2853515726203433E-3</v>
      </c>
      <c r="R2">
        <f>varicella!R2/'[1]population2005-2024'!$B$2</f>
        <v>5.4303331778848647E-3</v>
      </c>
      <c r="S2">
        <f>varicella!S2/'[1]population2005-2024'!$B$2</f>
        <v>6.2386652158142909E-3</v>
      </c>
      <c r="T2">
        <f>varicella!T2/'[1]population2005-2024'!$B$2</f>
        <v>5.8863153531271053E-3</v>
      </c>
      <c r="U2">
        <f>varicella!U2/'[1]population2005-2024'!$B$2</f>
        <v>4.8396289963210529E-3</v>
      </c>
    </row>
    <row r="3" spans="1:21">
      <c r="A3" s="11">
        <v>1</v>
      </c>
      <c r="B3">
        <f>varicella!B3/'[1]population2005-2024'!$B$2</f>
        <v>2.9535209078190579E-2</v>
      </c>
      <c r="C3">
        <f>varicella!C3/'[1]population2005-2024'!$B$2</f>
        <v>2.6063526607596248E-2</v>
      </c>
      <c r="D3">
        <f>varicella!D3/'[1]population2005-2024'!$B$2</f>
        <v>2.7566195139644541E-2</v>
      </c>
      <c r="E3">
        <f>varicella!E3/'[1]population2005-2024'!$B$2</f>
        <v>2.107881237369812E-2</v>
      </c>
      <c r="F3">
        <f>varicella!F3/'[1]population2005-2024'!$B$2</f>
        <v>2.4840665319446602E-2</v>
      </c>
      <c r="G3">
        <f>varicella!G3/'[1]population2005-2024'!$B$2</f>
        <v>2.3959790662728638E-2</v>
      </c>
      <c r="H3">
        <f>varicella!H3/'[1]population2005-2024'!$B$2</f>
        <v>2.4270687600393803E-2</v>
      </c>
      <c r="I3">
        <f>varicella!I3/'[1]population2005-2024'!$B$2</f>
        <v>1.7617493134359292E-2</v>
      </c>
      <c r="J3">
        <f>varicella!J3/'[1]population2005-2024'!$B$2</f>
        <v>2.0602103735944868E-2</v>
      </c>
      <c r="K3">
        <f>varicella!K3/'[1]population2005-2024'!$B$2</f>
        <v>1.7223690346650087E-2</v>
      </c>
      <c r="L3">
        <f>varicella!L3/'[1]population2005-2024'!$B$2</f>
        <v>2.6747499870459608E-2</v>
      </c>
      <c r="M3">
        <f>varicella!M3/'[1]population2005-2024'!$B$2</f>
        <v>2.562827089486502E-2</v>
      </c>
      <c r="N3">
        <f>varicella!N3/'[1]population2005-2024'!$B$2</f>
        <v>2.0560650810922846E-2</v>
      </c>
      <c r="O3">
        <f>varicella!O3/'[1]population2005-2024'!$B$2</f>
        <v>1.4695061920306752E-2</v>
      </c>
      <c r="P3">
        <f>varicella!P3/'[1]population2005-2024'!$B$2</f>
        <v>1.7576040209337271E-2</v>
      </c>
      <c r="Q3">
        <f>varicella!Q3/'[1]population2005-2024'!$B$2</f>
        <v>5.8344991968495774E-3</v>
      </c>
      <c r="R3">
        <f>varicella!R3/'[1]population2005-2024'!$B$2</f>
        <v>2.1244624073786206E-3</v>
      </c>
      <c r="S3">
        <f>varicella!S3/'[1]population2005-2024'!$B$2</f>
        <v>3.2126016892066946E-3</v>
      </c>
      <c r="T3">
        <f>varicella!T3/'[1]population2005-2024'!$B$2</f>
        <v>2.5597181201098503E-3</v>
      </c>
      <c r="U3">
        <f>varicella!U3/'[1]population2005-2024'!$B$2</f>
        <v>1.4612156070262707E-3</v>
      </c>
    </row>
    <row r="4" spans="1:21">
      <c r="A4" s="11">
        <v>2</v>
      </c>
      <c r="B4">
        <f>varicella!B4/'[1]population2005-2024'!$B$2</f>
        <v>3.9784444789885486E-2</v>
      </c>
      <c r="C4">
        <f>varicella!C4/'[1]population2005-2024'!$B$2</f>
        <v>3.4737551168454325E-2</v>
      </c>
      <c r="D4">
        <f>varicella!D4/'[1]population2005-2024'!$B$2</f>
        <v>3.7317995751075188E-2</v>
      </c>
      <c r="E4">
        <f>varicella!E4/'[1]population2005-2024'!$B$2</f>
        <v>2.8851235815327218E-2</v>
      </c>
      <c r="F4">
        <f>varicella!F4/'[1]population2005-2024'!$B$2</f>
        <v>3.2695994611119744E-2</v>
      </c>
      <c r="G4">
        <f>varicella!G4/'[1]population2005-2024'!$B$2</f>
        <v>3.1980931654489869E-2</v>
      </c>
      <c r="H4">
        <f>varicella!H4/'[1]population2005-2024'!$B$2</f>
        <v>3.5608062593916787E-2</v>
      </c>
      <c r="I4">
        <f>varicella!I4/'[1]population2005-2024'!$B$2</f>
        <v>2.7348567283278925E-2</v>
      </c>
      <c r="J4">
        <f>varicella!J4/'[1]population2005-2024'!$B$2</f>
        <v>2.7618011295922069E-2</v>
      </c>
      <c r="K4">
        <f>varicella!K4/'[1]population2005-2024'!$B$2</f>
        <v>2.3918337737706616E-2</v>
      </c>
      <c r="L4">
        <f>varicella!L4/'[1]population2005-2024'!$B$2</f>
        <v>3.8831027514378981E-2</v>
      </c>
      <c r="M4">
        <f>varicella!M4/'[1]population2005-2024'!$B$2</f>
        <v>3.3265972330172547E-2</v>
      </c>
      <c r="N4">
        <f>varicella!N4/'[1]population2005-2024'!$B$2</f>
        <v>2.7825275921032178E-2</v>
      </c>
      <c r="O4">
        <f>varicella!O4/'[1]population2005-2024'!$B$2</f>
        <v>1.890253381004197E-2</v>
      </c>
      <c r="P4">
        <f>varicella!P4/'[1]population2005-2024'!$B$2</f>
        <v>2.2850924918389554E-2</v>
      </c>
      <c r="Q4">
        <f>varicella!Q4/'[1]population2005-2024'!$B$2</f>
        <v>1.0311415099227939E-2</v>
      </c>
      <c r="R4">
        <f>varicella!R4/'[1]population2005-2024'!$B$2</f>
        <v>2.176278563656148E-3</v>
      </c>
      <c r="S4">
        <f>varicella!S4/'[1]population2005-2024'!$B$2</f>
        <v>1.0466863568060522E-3</v>
      </c>
      <c r="T4">
        <f>varicella!T4/'[1]population2005-2024'!$B$2</f>
        <v>9.6378050676200835E-4</v>
      </c>
      <c r="U4">
        <f>varicella!U4/'[1]population2005-2024'!$B$2</f>
        <v>5.9070418156381157E-4</v>
      </c>
    </row>
    <row r="5" spans="1:21">
      <c r="A5" s="11">
        <v>3</v>
      </c>
      <c r="B5">
        <f>varicella!B5/'[1]population2005-2024'!$B$2</f>
        <v>8.2677858956422615E-2</v>
      </c>
      <c r="C5">
        <f>varicella!C5/'[1]population2005-2024'!$B$2</f>
        <v>7.542359707756878E-2</v>
      </c>
      <c r="D5">
        <f>varicella!D5/'[1]population2005-2024'!$B$2</f>
        <v>7.6791543603295501E-2</v>
      </c>
      <c r="E5">
        <f>varicella!E5/'[1]population2005-2024'!$B$2</f>
        <v>5.8780247681227006E-2</v>
      </c>
      <c r="F5">
        <f>varicella!F5/'[1]population2005-2024'!$B$2</f>
        <v>6.8583864448935175E-2</v>
      </c>
      <c r="G5">
        <f>varicella!G5/'[1]population2005-2024'!$B$2</f>
        <v>6.9464739105653137E-2</v>
      </c>
      <c r="H5">
        <f>varicella!H5/'[1]population2005-2024'!$B$2</f>
        <v>6.8988030467899891E-2</v>
      </c>
      <c r="I5">
        <f>varicella!I5/'[1]population2005-2024'!$B$2</f>
        <v>5.9484947406601381E-2</v>
      </c>
      <c r="J5">
        <f>varicella!J5/'[1]population2005-2024'!$B$2</f>
        <v>6.0023835431887662E-2</v>
      </c>
      <c r="K5">
        <f>varicella!K5/'[1]population2005-2024'!$B$2</f>
        <v>4.8841908907197265E-2</v>
      </c>
      <c r="L5">
        <f>varicella!L5/'[1]population2005-2024'!$B$2</f>
        <v>7.2459712938494222E-2</v>
      </c>
      <c r="M5">
        <f>varicella!M5/'[1]population2005-2024'!$B$2</f>
        <v>6.5661433234882632E-2</v>
      </c>
      <c r="N5">
        <f>varicella!N5/'[1]population2005-2024'!$B$2</f>
        <v>5.4738587491579872E-2</v>
      </c>
      <c r="O5">
        <f>varicella!O5/'[1]population2005-2024'!$B$2</f>
        <v>4.0800041452925019E-2</v>
      </c>
      <c r="P5">
        <f>varicella!P5/'[1]population2005-2024'!$B$2</f>
        <v>4.5919477693144722E-2</v>
      </c>
      <c r="Q5">
        <f>varicella!Q5/'[1]population2005-2024'!$B$2</f>
        <v>1.9907767241826E-2</v>
      </c>
      <c r="R5">
        <f>varicella!R5/'[1]population2005-2024'!$B$2</f>
        <v>1.2052437950152858E-2</v>
      </c>
      <c r="S5">
        <f>varicella!S5/'[1]population2005-2024'!$B$2</f>
        <v>6.5184724597129387E-3</v>
      </c>
      <c r="T5">
        <f>varicella!T5/'[1]population2005-2024'!$B$2</f>
        <v>1.5026685320482928E-3</v>
      </c>
      <c r="U5">
        <f>varicella!U5/'[1]population2005-2024'!$B$2</f>
        <v>9.1196435048448109E-4</v>
      </c>
    </row>
    <row r="6" spans="1:21">
      <c r="A6" s="11">
        <v>4</v>
      </c>
      <c r="B6">
        <f>varicella!B6/'[1]population2005-2024'!$B$2</f>
        <v>9.2792372661795949E-2</v>
      </c>
      <c r="C6">
        <f>varicella!C6/'[1]population2005-2024'!$B$2</f>
        <v>8.4232343644748436E-2</v>
      </c>
      <c r="D6">
        <f>varicella!D6/'[1]population2005-2024'!$B$2</f>
        <v>8.4926680138867297E-2</v>
      </c>
      <c r="E6">
        <f>varicella!E6/'[1]population2005-2024'!$B$2</f>
        <v>6.4324576402922426E-2</v>
      </c>
      <c r="F6">
        <f>varicella!F6/'[1]population2005-2024'!$B$2</f>
        <v>7.231462770091715E-2</v>
      </c>
      <c r="G6">
        <f>varicella!G6/'[1]population2005-2024'!$B$2</f>
        <v>7.3765480076687914E-2</v>
      </c>
      <c r="H6">
        <f>varicella!H6/'[1]population2005-2024'!$B$2</f>
        <v>7.5071247214881606E-2</v>
      </c>
      <c r="I6">
        <f>varicella!I6/'[1]population2005-2024'!$B$2</f>
        <v>6.509145551582983E-2</v>
      </c>
      <c r="J6">
        <f>varicella!J6/'[1]population2005-2024'!$B$2</f>
        <v>6.618995802891342E-2</v>
      </c>
      <c r="K6">
        <f>varicella!K6/'[1]population2005-2024'!$B$2</f>
        <v>5.4147883310016062E-2</v>
      </c>
      <c r="L6">
        <f>varicella!L6/'[1]population2005-2024'!$B$2</f>
        <v>7.6439193740608327E-2</v>
      </c>
      <c r="M6">
        <f>varicella!M6/'[1]population2005-2024'!$B$2</f>
        <v>6.7765169179750243E-2</v>
      </c>
      <c r="N6">
        <f>varicella!N6/'[1]population2005-2024'!$B$2</f>
        <v>5.988911342556609E-2</v>
      </c>
      <c r="O6">
        <f>varicella!O6/'[1]population2005-2024'!$B$2</f>
        <v>4.1805274884709052E-2</v>
      </c>
      <c r="P6">
        <f>varicella!P6/'[1]population2005-2024'!$B$2</f>
        <v>5.1619254883672729E-2</v>
      </c>
      <c r="Q6">
        <f>varicella!Q6/'[1]population2005-2024'!$B$2</f>
        <v>2.2260220736825743E-2</v>
      </c>
      <c r="R6">
        <f>varicella!R6/'[1]population2005-2024'!$B$2</f>
        <v>1.6104461371055496E-2</v>
      </c>
      <c r="S6">
        <f>varicella!S6/'[1]population2005-2024'!$B$2</f>
        <v>2.1296440230063735E-2</v>
      </c>
      <c r="T6">
        <f>varicella!T6/'[1]population2005-2024'!$B$2</f>
        <v>6.7464635473340586E-3</v>
      </c>
      <c r="U6">
        <f>varicella!U6/'[1]population2005-2024'!$B$2</f>
        <v>1.1814083631276231E-3</v>
      </c>
    </row>
    <row r="7" spans="1:21">
      <c r="A7" s="11">
        <v>5</v>
      </c>
      <c r="B7">
        <f>varicella!B7/'[1]population2005-2024'!$B$2</f>
        <v>8.1579356443339038E-2</v>
      </c>
      <c r="C7">
        <f>varicella!C7/'[1]population2005-2024'!$B$2</f>
        <v>7.0096896212238982E-2</v>
      </c>
      <c r="D7">
        <f>varicella!D7/'[1]population2005-2024'!$B$2</f>
        <v>7.349603606404477E-2</v>
      </c>
      <c r="E7">
        <f>varicella!E7/'[1]population2005-2024'!$B$2</f>
        <v>5.493548888543448E-2</v>
      </c>
      <c r="F7">
        <f>varicella!F7/'[1]population2005-2024'!$B$2</f>
        <v>5.9060054925125657E-2</v>
      </c>
      <c r="G7">
        <f>varicella!G7/'[1]population2005-2024'!$B$2</f>
        <v>6.3308979739882892E-2</v>
      </c>
      <c r="H7">
        <f>varicella!H7/'[1]population2005-2024'!$B$2</f>
        <v>6.2977356339706719E-2</v>
      </c>
      <c r="I7">
        <f>varicella!I7/'[1]population2005-2024'!$B$2</f>
        <v>5.3267008653298101E-2</v>
      </c>
      <c r="J7">
        <f>varicella!J7/'[1]population2005-2024'!$B$2</f>
        <v>5.4241152391315613E-2</v>
      </c>
      <c r="K7">
        <f>varicella!K7/'[1]population2005-2024'!$B$2</f>
        <v>4.7256334525104929E-2</v>
      </c>
      <c r="L7">
        <f>varicella!L7/'[1]population2005-2024'!$B$2</f>
        <v>6.7765169179750243E-2</v>
      </c>
      <c r="M7">
        <f>varicella!M7/'[1]population2005-2024'!$B$2</f>
        <v>5.601326493600705E-2</v>
      </c>
      <c r="N7">
        <f>varicella!N7/'[1]population2005-2024'!$B$2</f>
        <v>4.9152805844862431E-2</v>
      </c>
      <c r="O7">
        <f>varicella!O7/'[1]population2005-2024'!$B$2</f>
        <v>3.6136587387947561E-2</v>
      </c>
      <c r="P7">
        <f>varicella!P7/'[1]population2005-2024'!$B$2</f>
        <v>4.7225244831338414E-2</v>
      </c>
      <c r="Q7">
        <f>varicella!Q7/'[1]population2005-2024'!$B$2</f>
        <v>2.024975387325768E-2</v>
      </c>
      <c r="R7">
        <f>varicella!R7/'[1]population2005-2024'!$B$2</f>
        <v>1.6259909839888079E-2</v>
      </c>
      <c r="S7">
        <f>varicella!S7/'[1]population2005-2024'!$B$2</f>
        <v>2.409451266905021E-2</v>
      </c>
      <c r="T7">
        <f>varicella!T7/'[1]population2005-2024'!$B$2</f>
        <v>2.2156588424270686E-2</v>
      </c>
      <c r="U7">
        <f>varicella!U7/'[1]population2005-2024'!$B$2</f>
        <v>4.8914451525985799E-3</v>
      </c>
    </row>
    <row r="8" spans="1:21">
      <c r="A8" s="11">
        <v>6</v>
      </c>
      <c r="B8">
        <f>varicella!B8/'[1]population2005-2024'!$B$2</f>
        <v>5.8790610912482513E-2</v>
      </c>
      <c r="C8">
        <f>varicella!C8/'[1]population2005-2024'!$B$2</f>
        <v>5.0323850976734544E-2</v>
      </c>
      <c r="D8">
        <f>varicella!D8/'[1]population2005-2024'!$B$2</f>
        <v>5.3349914503342144E-2</v>
      </c>
      <c r="E8">
        <f>varicella!E8/'[1]population2005-2024'!$B$2</f>
        <v>3.9515000777242341E-2</v>
      </c>
      <c r="F8">
        <f>varicella!F8/'[1]population2005-2024'!$B$2</f>
        <v>4.4696616404995081E-2</v>
      </c>
      <c r="G8">
        <f>varicella!G8/'[1]population2005-2024'!$B$2</f>
        <v>4.2665423078916007E-2</v>
      </c>
      <c r="H8">
        <f>varicella!H8/'[1]population2005-2024'!$B$2</f>
        <v>4.2820871547748586E-2</v>
      </c>
      <c r="I8">
        <f>varicella!I8/'[1]population2005-2024'!$B$2</f>
        <v>3.6437121094357219E-2</v>
      </c>
      <c r="J8">
        <f>varicella!J8/'[1]population2005-2024'!$B$2</f>
        <v>3.9276646458365719E-2</v>
      </c>
      <c r="K8">
        <f>varicella!K8/'[1]population2005-2024'!$B$2</f>
        <v>3.3162340017617496E-2</v>
      </c>
      <c r="L8">
        <f>varicella!L8/'[1]population2005-2024'!$B$2</f>
        <v>4.6872894968651227E-2</v>
      </c>
      <c r="M8">
        <f>varicella!M8/'[1]population2005-2024'!$B$2</f>
        <v>4.2033265972330175E-2</v>
      </c>
      <c r="N8">
        <f>varicella!N8/'[1]population2005-2024'!$B$2</f>
        <v>3.5856780144048916E-2</v>
      </c>
      <c r="O8">
        <f>varicella!O8/'[1]population2005-2024'!$B$2</f>
        <v>2.6623141095393543E-2</v>
      </c>
      <c r="P8">
        <f>varicella!P8/'[1]population2005-2024'!$B$2</f>
        <v>3.6913829732110472E-2</v>
      </c>
      <c r="Q8">
        <f>varicella!Q8/'[1]population2005-2024'!$B$2</f>
        <v>1.5824654127156848E-2</v>
      </c>
      <c r="R8">
        <f>varicella!R8/'[1]population2005-2024'!$B$2</f>
        <v>1.4570703145240687E-2</v>
      </c>
      <c r="S8">
        <f>varicella!S8/'[1]population2005-2024'!$B$2</f>
        <v>2.2001139955438107E-2</v>
      </c>
      <c r="T8">
        <f>varicella!T8/'[1]population2005-2024'!$B$2</f>
        <v>2.5265557800922326E-2</v>
      </c>
      <c r="U8">
        <f>varicella!U8/'[1]population2005-2024'!$B$2</f>
        <v>1.6736618477641328E-2</v>
      </c>
    </row>
    <row r="9" spans="1:21">
      <c r="A9" s="11">
        <v>7</v>
      </c>
      <c r="B9">
        <f>varicella!B9/'[1]population2005-2024'!$B$2</f>
        <v>3.7856883776361469E-2</v>
      </c>
      <c r="C9">
        <f>varicella!C9/'[1]population2005-2024'!$B$2</f>
        <v>2.9949738328410799E-2</v>
      </c>
      <c r="D9">
        <f>varicella!D9/'[1]population2005-2024'!$B$2</f>
        <v>3.0758070366340224E-2</v>
      </c>
      <c r="E9">
        <f>varicella!E9/'[1]population2005-2024'!$B$2</f>
        <v>2.4363956681693354E-2</v>
      </c>
      <c r="F9">
        <f>varicella!F9/'[1]population2005-2024'!$B$2</f>
        <v>2.5203378413389294E-2</v>
      </c>
      <c r="G9">
        <f>varicella!G9/'[1]population2005-2024'!$B$2</f>
        <v>2.4167055287838749E-2</v>
      </c>
      <c r="H9">
        <f>varicella!H9/'[1]population2005-2024'!$B$2</f>
        <v>2.4477952225503911E-2</v>
      </c>
      <c r="I9">
        <f>varicella!I9/'[1]population2005-2024'!$B$2</f>
        <v>2.0436292035856781E-2</v>
      </c>
      <c r="J9">
        <f>varicella!J9/'[1]population2005-2024'!$B$2</f>
        <v>2.2021866417949117E-2</v>
      </c>
      <c r="K9">
        <f>varicella!K9/'[1]population2005-2024'!$B$2</f>
        <v>1.8736722109953884E-2</v>
      </c>
      <c r="L9">
        <f>varicella!L9/'[1]population2005-2024'!$B$2</f>
        <v>2.6436602932794446E-2</v>
      </c>
      <c r="M9">
        <f>varicella!M9/'[1]population2005-2024'!$B$2</f>
        <v>2.4167055287838749E-2</v>
      </c>
      <c r="N9">
        <f>varicella!N9/'[1]population2005-2024'!$B$2</f>
        <v>2.2249857505570236E-2</v>
      </c>
      <c r="O9">
        <f>varicella!O9/'[1]population2005-2024'!$B$2</f>
        <v>1.6508627390020209E-2</v>
      </c>
      <c r="P9">
        <f>varicella!P9/'[1]population2005-2024'!$B$2</f>
        <v>2.2664386755790456E-2</v>
      </c>
      <c r="Q9">
        <f>varicella!Q9/'[1]population2005-2024'!$B$2</f>
        <v>1.1565366081144101E-2</v>
      </c>
      <c r="R9">
        <f>varicella!R9/'[1]population2005-2024'!$B$2</f>
        <v>1.0249235711694907E-2</v>
      </c>
      <c r="S9">
        <f>varicella!S9/'[1]population2005-2024'!$B$2</f>
        <v>2.0374112648323749E-2</v>
      </c>
      <c r="T9">
        <f>varicella!T9/'[1]population2005-2024'!$B$2</f>
        <v>2.6322607388983885E-2</v>
      </c>
      <c r="U9">
        <f>varicella!U9/'[1]population2005-2024'!$B$2</f>
        <v>2.4073786206539199E-2</v>
      </c>
    </row>
    <row r="10" spans="1:21">
      <c r="A10" s="11">
        <v>8</v>
      </c>
      <c r="B10">
        <f>varicella!B10/'[1]population2005-2024'!$B$2</f>
        <v>2.5421006269754909E-2</v>
      </c>
      <c r="C10">
        <f>varicella!C10/'[1]population2005-2024'!$B$2</f>
        <v>2.091300067361003E-2</v>
      </c>
      <c r="D10">
        <f>varicella!D10/'[1]population2005-2024'!$B$2</f>
        <v>2.2726566143323489E-2</v>
      </c>
      <c r="E10">
        <f>varicella!E10/'[1]population2005-2024'!$B$2</f>
        <v>1.5783201202134826E-2</v>
      </c>
      <c r="F10">
        <f>varicella!F10/'[1]population2005-2024'!$B$2</f>
        <v>1.6819524327685371E-2</v>
      </c>
      <c r="G10">
        <f>varicella!G10/'[1]population2005-2024'!$B$2</f>
        <v>1.5171770558060004E-2</v>
      </c>
      <c r="H10">
        <f>varicella!H10/'[1]population2005-2024'!$B$2</f>
        <v>1.6384268614954144E-2</v>
      </c>
      <c r="I10">
        <f>varicella!I10/'[1]population2005-2024'!$B$2</f>
        <v>1.4125084201253951E-2</v>
      </c>
      <c r="J10">
        <f>varicella!J10/'[1]population2005-2024'!$B$2</f>
        <v>1.3140577231980931E-2</v>
      </c>
      <c r="K10">
        <f>varicella!K10/'[1]population2005-2024'!$B$2</f>
        <v>1.1067930980879838E-2</v>
      </c>
      <c r="L10">
        <f>varicella!L10/'[1]population2005-2024'!$B$2</f>
        <v>1.6674439090108295E-2</v>
      </c>
      <c r="M10">
        <f>varicella!M10/'[1]population2005-2024'!$B$2</f>
        <v>1.620809368361055E-2</v>
      </c>
      <c r="N10">
        <f>varicella!N10/'[1]population2005-2024'!$B$2</f>
        <v>1.7171874190372558E-2</v>
      </c>
      <c r="O10">
        <f>varicella!O10/'[1]population2005-2024'!$B$2</f>
        <v>1.2632778900461163E-2</v>
      </c>
      <c r="P10">
        <f>varicella!P10/'[1]population2005-2024'!$B$2</f>
        <v>1.4705425151562257E-2</v>
      </c>
      <c r="Q10">
        <f>varicella!Q10/'[1]population2005-2024'!$B$2</f>
        <v>7.3371677288978704E-3</v>
      </c>
      <c r="R10">
        <f>varicella!R10/'[1]population2005-2024'!$B$2</f>
        <v>6.9537281724441685E-3</v>
      </c>
      <c r="S10">
        <f>varicella!S10/'[1]population2005-2024'!$B$2</f>
        <v>1.6425721539976165E-2</v>
      </c>
      <c r="T10">
        <f>varicella!T10/'[1]population2005-2024'!$B$2</f>
        <v>2.0498471423389814E-2</v>
      </c>
      <c r="U10">
        <f>varicella!U10/'[1]population2005-2024'!$B$2</f>
        <v>1.9213430747707136E-2</v>
      </c>
    </row>
    <row r="11" spans="1:21">
      <c r="A11" s="11">
        <v>9</v>
      </c>
      <c r="B11">
        <f>varicella!B11/'[1]population2005-2024'!$B$2</f>
        <v>1.8809264728742423E-2</v>
      </c>
      <c r="C11">
        <f>varicella!C11/'[1]population2005-2024'!$B$2</f>
        <v>1.5493030726980673E-2</v>
      </c>
      <c r="D11">
        <f>varicella!D11/'[1]population2005-2024'!$B$2</f>
        <v>1.6353178921187626E-2</v>
      </c>
      <c r="E11">
        <f>varicella!E11/'[1]population2005-2024'!$B$2</f>
        <v>1.1254469143478937E-2</v>
      </c>
      <c r="F11">
        <f>varicella!F11/'[1]population2005-2024'!$B$2</f>
        <v>1.1720814549976684E-2</v>
      </c>
      <c r="G11">
        <f>varicella!G11/'[1]population2005-2024'!$B$2</f>
        <v>1.0622312036893103E-2</v>
      </c>
      <c r="H11">
        <f>varicella!H11/'[1]population2005-2024'!$B$2</f>
        <v>1.2415151044095549E-2</v>
      </c>
      <c r="I11">
        <f>varicella!I11/'[1]population2005-2024'!$B$2</f>
        <v>8.3320379294263957E-3</v>
      </c>
      <c r="J11">
        <f>varicella!J11/'[1]population2005-2024'!$B$2</f>
        <v>9.2232758173998661E-3</v>
      </c>
      <c r="K11">
        <f>varicella!K11/'[1]population2005-2024'!$B$2</f>
        <v>6.7050106223120369E-3</v>
      </c>
      <c r="L11">
        <f>varicella!L11/'[1]population2005-2024'!$B$2</f>
        <v>1.0757034043214674E-2</v>
      </c>
      <c r="M11">
        <f>varicella!M11/'[1]population2005-2024'!$B$2</f>
        <v>1.1067930980879838E-2</v>
      </c>
      <c r="N11">
        <f>varicella!N11/'[1]population2005-2024'!$B$2</f>
        <v>1.0808850199492202E-2</v>
      </c>
      <c r="O11">
        <f>varicella!O11/'[1]population2005-2024'!$B$2</f>
        <v>8.1247733043162858E-3</v>
      </c>
      <c r="P11">
        <f>varicella!P11/'[1]population2005-2024'!$B$2</f>
        <v>1.0342504792994455E-2</v>
      </c>
      <c r="Q11">
        <f>varicella!Q11/'[1]population2005-2024'!$B$2</f>
        <v>5.388880252862843E-3</v>
      </c>
      <c r="R11">
        <f>varicella!R11/'[1]population2005-2024'!$B$2</f>
        <v>4.2800145085237573E-3</v>
      </c>
      <c r="S11">
        <f>varicella!S11/'[1]population2005-2024'!$B$2</f>
        <v>1.0466863568060522E-2</v>
      </c>
      <c r="T11">
        <f>varicella!T11/'[1]population2005-2024'!$B$2</f>
        <v>1.5016322089227421E-2</v>
      </c>
      <c r="U11">
        <f>varicella!U11/'[1]population2005-2024'!$B$2</f>
        <v>1.4715788382817762E-2</v>
      </c>
    </row>
    <row r="12" spans="1:21">
      <c r="A12" s="12" t="s">
        <v>0</v>
      </c>
      <c r="B12">
        <f>varicella!B12/'[1]population2005-2024'!$B$2</f>
        <v>3.7504533913674282E-2</v>
      </c>
      <c r="C12">
        <f>varicella!C12/'[1]population2005-2024'!$B$2</f>
        <v>3.5576972900150265E-2</v>
      </c>
      <c r="D12">
        <f>varicella!D12/'[1]population2005-2024'!$B$2</f>
        <v>3.947354785222032E-2</v>
      </c>
      <c r="E12">
        <f>varicella!E12/'[1]population2005-2024'!$B$2</f>
        <v>2.9669931084512151E-2</v>
      </c>
      <c r="F12">
        <f>varicella!F12/'[1]population2005-2024'!$B$2</f>
        <v>3.1037877610238872E-2</v>
      </c>
      <c r="G12">
        <f>varicella!G12/'[1]population2005-2024'!$B$2</f>
        <v>2.65402352453495E-2</v>
      </c>
      <c r="H12">
        <f>varicella!H12/'[1]population2005-2024'!$B$2</f>
        <v>2.5472822426032438E-2</v>
      </c>
      <c r="I12">
        <f>varicella!I12/'[1]population2005-2024'!$B$2</f>
        <v>2.0425928804601274E-2</v>
      </c>
      <c r="J12">
        <f>varicella!J12/'[1]population2005-2024'!$B$2</f>
        <v>2.0840458054821494E-2</v>
      </c>
      <c r="K12">
        <f>varicella!K12/'[1]population2005-2024'!$B$2</f>
        <v>1.6477537696253691E-2</v>
      </c>
      <c r="L12">
        <f>varicella!L12/'[1]population2005-2024'!$B$2</f>
        <v>2.0539924348411835E-2</v>
      </c>
      <c r="M12">
        <f>varicella!M12/'[1]population2005-2024'!$B$2</f>
        <v>2.3078916006010673E-2</v>
      </c>
      <c r="N12">
        <f>varicella!N12/'[1]population2005-2024'!$B$2</f>
        <v>2.2540027980724391E-2</v>
      </c>
      <c r="O12">
        <f>varicella!O12/'[1]population2005-2024'!$B$2</f>
        <v>1.6943883102751439E-2</v>
      </c>
      <c r="P12">
        <f>varicella!P12/'[1]population2005-2024'!$B$2</f>
        <v>2.2685113218301467E-2</v>
      </c>
      <c r="Q12">
        <f>varicella!Q12/'[1]population2005-2024'!$B$2</f>
        <v>1.0269962174205918E-2</v>
      </c>
      <c r="R12">
        <f>varicella!R12/'[1]population2005-2024'!$B$2</f>
        <v>9.9279755427742374E-3</v>
      </c>
      <c r="S12">
        <f>varicella!S12/'[1]population2005-2024'!$B$2</f>
        <v>1.9907767241826E-2</v>
      </c>
      <c r="T12">
        <f>varicella!T12/'[1]population2005-2024'!$B$2</f>
        <v>2.8426343333851495E-2</v>
      </c>
      <c r="U12">
        <f>varicella!U12/'[1]population2005-2024'!$B$2</f>
        <v>2.7711280377221616E-2</v>
      </c>
    </row>
    <row r="13" spans="1:21">
      <c r="A13" s="11" t="s">
        <v>1</v>
      </c>
      <c r="B13">
        <f>varicella!B13/'[1]population2005-2024'!$B$2</f>
        <v>6.1661225970257531E-3</v>
      </c>
      <c r="C13">
        <f>varicella!C13/'[1]population2005-2024'!$B$2</f>
        <v>6.6946473910565315E-3</v>
      </c>
      <c r="D13">
        <f>varicella!D13/'[1]population2005-2024'!$B$2</f>
        <v>7.3889838851753974E-3</v>
      </c>
      <c r="E13">
        <f>varicella!E13/'[1]population2005-2024'!$B$2</f>
        <v>6.1039432094927197E-3</v>
      </c>
      <c r="F13">
        <f>varicella!F13/'[1]population2005-2024'!$B$2</f>
        <v>6.756826778589564E-3</v>
      </c>
      <c r="G13">
        <f>varicella!G13/'[1]population2005-2024'!$B$2</f>
        <v>5.8344991968495774E-3</v>
      </c>
      <c r="H13">
        <f>varicella!H13/'[1]population2005-2024'!$B$2</f>
        <v>6.7153738535675423E-3</v>
      </c>
      <c r="I13">
        <f>varicella!I13/'[1]population2005-2024'!$B$2</f>
        <v>4.7463599150215034E-3</v>
      </c>
      <c r="J13">
        <f>varicella!J13/'[1]population2005-2024'!$B$2</f>
        <v>5.0054406964091403E-3</v>
      </c>
      <c r="K13">
        <f>varicella!K13/'[1]population2005-2024'!$B$2</f>
        <v>4.5080055961448781E-3</v>
      </c>
      <c r="L13">
        <f>varicella!L13/'[1]population2005-2024'!$B$2</f>
        <v>4.8603554588320637E-3</v>
      </c>
      <c r="M13">
        <f>varicella!M13/'[1]population2005-2024'!$B$2</f>
        <v>4.8914451525985799E-3</v>
      </c>
      <c r="N13">
        <f>varicella!N13/'[1]population2005-2024'!$B$2</f>
        <v>4.922534846365097E-3</v>
      </c>
      <c r="O13">
        <f>varicella!O13/'[1]population2005-2024'!$B$2</f>
        <v>3.2126016892066946E-3</v>
      </c>
      <c r="P13">
        <f>varicella!P13/'[1]population2005-2024'!$B$2</f>
        <v>4.0209337271361213E-3</v>
      </c>
      <c r="Q13">
        <f>varicella!Q13/'[1]population2005-2024'!$B$2</f>
        <v>1.689206694647391E-3</v>
      </c>
      <c r="R13">
        <f>varicella!R13/'[1]population2005-2024'!$B$2</f>
        <v>1.2850406756826779E-3</v>
      </c>
      <c r="S13">
        <f>varicella!S13/'[1]population2005-2024'!$B$2</f>
        <v>2.5286284263433337E-3</v>
      </c>
      <c r="T13">
        <f>varicella!T13/'[1]population2005-2024'!$B$2</f>
        <v>3.1918752266956838E-3</v>
      </c>
      <c r="U13">
        <f>varicella!U13/'[1]population2005-2024'!$B$2</f>
        <v>2.9535209078190581E-3</v>
      </c>
    </row>
    <row r="14" spans="1:21">
      <c r="A14" s="11" t="s">
        <v>2</v>
      </c>
      <c r="B14">
        <f>varicella!B14/'[1]population2005-2024'!$B$2</f>
        <v>1.5461941033214157E-2</v>
      </c>
      <c r="C14">
        <f>varicella!C14/'[1]population2005-2024'!$B$2</f>
        <v>1.4695061920306752E-2</v>
      </c>
      <c r="D14">
        <f>varicella!D14/'[1]population2005-2024'!$B$2</f>
        <v>1.3606922638478678E-2</v>
      </c>
      <c r="E14">
        <f>varicella!E14/'[1]population2005-2024'!$B$2</f>
        <v>1.0218146017928391E-2</v>
      </c>
      <c r="F14">
        <f>varicella!F14/'[1]population2005-2024'!$B$2</f>
        <v>1.0611948805637598E-2</v>
      </c>
      <c r="G14">
        <f>varicella!G14/'[1]population2005-2024'!$B$2</f>
        <v>9.2440022799108769E-3</v>
      </c>
      <c r="H14">
        <f>varicella!H14/'[1]population2005-2024'!$B$2</f>
        <v>1.0456500336805015E-2</v>
      </c>
      <c r="I14">
        <f>varicella!I14/'[1]population2005-2024'!$B$2</f>
        <v>8.2905850044043741E-3</v>
      </c>
      <c r="J14">
        <f>varicella!J14/'[1]population2005-2024'!$B$2</f>
        <v>7.3889838851753974E-3</v>
      </c>
      <c r="K14">
        <f>varicella!K14/'[1]population2005-2024'!$B$2</f>
        <v>6.3630239908803567E-3</v>
      </c>
      <c r="L14">
        <f>varicella!L14/'[1]population2005-2024'!$B$2</f>
        <v>6.5910150785014766E-3</v>
      </c>
      <c r="M14">
        <f>varicella!M14/'[1]population2005-2024'!$B$2</f>
        <v>6.6635576972900153E-3</v>
      </c>
      <c r="N14">
        <f>varicella!N14/'[1]population2005-2024'!$B$2</f>
        <v>6.4148401471578837E-3</v>
      </c>
      <c r="O14">
        <f>varicella!O14/'[1]population2005-2024'!$B$2</f>
        <v>4.3318306648012853E-3</v>
      </c>
      <c r="P14">
        <f>varicella!P14/'[1]population2005-2024'!$B$2</f>
        <v>5.3163376340743043E-3</v>
      </c>
      <c r="Q14">
        <f>varicella!Q14/'[1]population2005-2024'!$B$2</f>
        <v>3.0157002953520909E-3</v>
      </c>
      <c r="R14">
        <f>varicella!R14/'[1]population2005-2024'!$B$2</f>
        <v>2.3835431887662575E-3</v>
      </c>
      <c r="S14">
        <f>varicella!S14/'[1]population2005-2024'!$B$2</f>
        <v>3.3680501580392766E-3</v>
      </c>
      <c r="T14">
        <f>varicella!T14/'[1]population2005-2024'!$B$2</f>
        <v>2.8913415202860252E-3</v>
      </c>
      <c r="U14">
        <f>varicella!U14/'[1]population2005-2024'!$B$2</f>
        <v>2.4664490388103012E-3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varicella</vt:lpstr>
      <vt:lpstr>varicella11</vt:lpstr>
      <vt:lpstr>varicella16</vt:lpstr>
      <vt:lpstr>age_distribution</vt:lpstr>
      <vt:lpstr>varicella16_relative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Csuma-Kovács Rita</dc:creator>
  <cp:lastModifiedBy>Rita Csuma-Kovács</cp:lastModifiedBy>
  <dcterms:created xsi:type="dcterms:W3CDTF">2015-06-05T18:19:34Z</dcterms:created>
  <dcterms:modified xsi:type="dcterms:W3CDTF">2026-07-22T09:32:24Z</dcterms:modified>
</cp:coreProperties>
</file>