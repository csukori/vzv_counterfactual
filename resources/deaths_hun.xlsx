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SURITA\PycharmProjects\PythonProject\counterfactual-analysis-vzv\resources\"/>
    </mc:Choice>
  </mc:AlternateContent>
  <xr:revisionPtr revIDLastSave="0" documentId="13_ncr:1_{3FE251B4-52E5-46A7-A641-4D4C1FD07649}" xr6:coauthVersionLast="47" xr6:coauthVersionMax="47" xr10:uidLastSave="{00000000-0000-0000-0000-000000000000}"/>
  <bookViews>
    <workbookView xWindow="320" yWindow="2280" windowWidth="18880" windowHeight="7080" firstSheet="2" activeTab="2" xr2:uid="{00000000-000D-0000-FFFF-FFFF00000000}"/>
  </bookViews>
  <sheets>
    <sheet name="deaths" sheetId="1" r:id="rId1"/>
    <sheet name="weekly_data" sheetId="2" r:id="rId2"/>
    <sheet name="weekly_ra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2" i="3"/>
</calcChain>
</file>

<file path=xl/sharedStrings.xml><?xml version="1.0" encoding="utf-8"?>
<sst xmlns="http://schemas.openxmlformats.org/spreadsheetml/2006/main" count="6" uniqueCount="5">
  <si>
    <t>Year</t>
  </si>
  <si>
    <t>Cases</t>
  </si>
  <si>
    <t>week</t>
  </si>
  <si>
    <t>2021–2025 mean</t>
  </si>
  <si>
    <t>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</si>
</sst>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activeCell="B1" sqref="B1"/>
    </sheetView>
  </sheetViews>
  <sheetFormatPr defaultRowHeight="14.5" x14ac:dyDescent="0.35"/>
  <cols>
    <col min="2" max="2" width="8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2000</v>
      </c>
      <c r="B2">
        <v>135601</v>
      </c>
    </row>
    <row r="3" spans="1:2" x14ac:dyDescent="0.35">
      <c r="A3">
        <v>2001</v>
      </c>
      <c r="B3">
        <v>132183</v>
      </c>
    </row>
    <row r="4" spans="1:2" x14ac:dyDescent="0.35">
      <c r="A4">
        <v>2002</v>
      </c>
      <c r="B4">
        <v>132833</v>
      </c>
    </row>
    <row r="5" spans="1:2" x14ac:dyDescent="0.35">
      <c r="A5">
        <v>2003</v>
      </c>
      <c r="B5">
        <v>135823</v>
      </c>
    </row>
    <row r="6" spans="1:2" x14ac:dyDescent="0.35">
      <c r="A6">
        <v>2004</v>
      </c>
      <c r="B6">
        <v>132492</v>
      </c>
    </row>
    <row r="7" spans="1:2" x14ac:dyDescent="0.35">
      <c r="A7">
        <v>2005</v>
      </c>
      <c r="B7">
        <v>135732</v>
      </c>
    </row>
    <row r="8" spans="1:2" x14ac:dyDescent="0.35">
      <c r="A8">
        <v>2006</v>
      </c>
      <c r="B8">
        <v>131603</v>
      </c>
    </row>
    <row r="9" spans="1:2" x14ac:dyDescent="0.35">
      <c r="A9">
        <v>2007</v>
      </c>
      <c r="B9">
        <v>132938</v>
      </c>
    </row>
    <row r="10" spans="1:2" x14ac:dyDescent="0.35">
      <c r="A10">
        <v>2008</v>
      </c>
      <c r="B10">
        <v>130027</v>
      </c>
    </row>
    <row r="11" spans="1:2" x14ac:dyDescent="0.35">
      <c r="A11">
        <v>2009</v>
      </c>
      <c r="B11">
        <v>130414</v>
      </c>
    </row>
    <row r="12" spans="1:2" x14ac:dyDescent="0.35">
      <c r="A12">
        <v>2010</v>
      </c>
      <c r="B12">
        <v>130456</v>
      </c>
    </row>
    <row r="13" spans="1:2" x14ac:dyDescent="0.35">
      <c r="A13">
        <v>2011</v>
      </c>
      <c r="B13">
        <v>128795</v>
      </c>
    </row>
    <row r="14" spans="1:2" x14ac:dyDescent="0.35">
      <c r="A14">
        <v>2012</v>
      </c>
      <c r="B14">
        <v>129440</v>
      </c>
    </row>
    <row r="15" spans="1:2" x14ac:dyDescent="0.35">
      <c r="A15">
        <v>2013</v>
      </c>
      <c r="B15">
        <v>126778</v>
      </c>
    </row>
    <row r="16" spans="1:2" x14ac:dyDescent="0.35">
      <c r="A16">
        <v>2014</v>
      </c>
      <c r="B16">
        <v>126308</v>
      </c>
    </row>
    <row r="17" spans="1:2" x14ac:dyDescent="0.35">
      <c r="A17">
        <v>2015</v>
      </c>
      <c r="B17">
        <v>131697</v>
      </c>
    </row>
    <row r="18" spans="1:2" x14ac:dyDescent="0.35">
      <c r="A18">
        <v>2016</v>
      </c>
      <c r="B18">
        <v>127053</v>
      </c>
    </row>
    <row r="19" spans="1:2" x14ac:dyDescent="0.35">
      <c r="A19">
        <v>2017</v>
      </c>
      <c r="B19">
        <v>131674</v>
      </c>
    </row>
    <row r="20" spans="1:2" x14ac:dyDescent="0.35">
      <c r="A20">
        <v>2018</v>
      </c>
      <c r="B20">
        <v>131045</v>
      </c>
    </row>
    <row r="21" spans="1:2" x14ac:dyDescent="0.35">
      <c r="A21">
        <v>2019</v>
      </c>
      <c r="B21">
        <v>129603</v>
      </c>
    </row>
    <row r="22" spans="1:2" x14ac:dyDescent="0.35">
      <c r="A22">
        <v>2020</v>
      </c>
      <c r="B22">
        <v>141002</v>
      </c>
    </row>
    <row r="23" spans="1:2" x14ac:dyDescent="0.35">
      <c r="A23">
        <v>2021</v>
      </c>
      <c r="B23">
        <v>155621</v>
      </c>
    </row>
    <row r="24" spans="1:2" x14ac:dyDescent="0.35">
      <c r="A24">
        <v>2022</v>
      </c>
      <c r="B24">
        <v>136446</v>
      </c>
    </row>
    <row r="25" spans="1:2" x14ac:dyDescent="0.35">
      <c r="A25">
        <v>2023</v>
      </c>
      <c r="B25">
        <v>128176</v>
      </c>
    </row>
    <row r="26" spans="1:2" x14ac:dyDescent="0.35">
      <c r="A26">
        <v>2024</v>
      </c>
      <c r="B26">
        <v>127470</v>
      </c>
    </row>
    <row r="27" spans="1:2" x14ac:dyDescent="0.35">
      <c r="A27">
        <v>2025</v>
      </c>
      <c r="B27" s="1">
        <v>124200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DF391-DCF2-4B5C-9105-39BDDDE821B3}">
  <dimension ref="A1:D53"/>
  <sheetViews>
    <sheetView topLeftCell="A30" workbookViewId="0">
      <selection sqref="A1:A1048576"/>
    </sheetView>
  </sheetViews>
  <sheetFormatPr defaultRowHeight="14.5" x14ac:dyDescent="0.35"/>
  <sheetData>
    <row r="1" spans="1:4" x14ac:dyDescent="0.35">
      <c r="A1" t="s">
        <v>2</v>
      </c>
      <c r="B1">
        <v>2026</v>
      </c>
      <c r="C1">
        <v>2025</v>
      </c>
      <c r="D1" t="s">
        <v>3</v>
      </c>
    </row>
    <row r="2" spans="1:4" x14ac:dyDescent="0.35">
      <c r="A2">
        <v>1</v>
      </c>
      <c r="B2">
        <v>2772</v>
      </c>
      <c r="C2">
        <v>3001</v>
      </c>
      <c r="D2">
        <v>2986</v>
      </c>
    </row>
    <row r="3" spans="1:4" x14ac:dyDescent="0.35">
      <c r="A3">
        <v>2</v>
      </c>
      <c r="B3">
        <v>2902</v>
      </c>
      <c r="C3">
        <v>3096</v>
      </c>
      <c r="D3">
        <v>2909</v>
      </c>
    </row>
    <row r="4" spans="1:4" x14ac:dyDescent="0.35">
      <c r="A4">
        <v>3</v>
      </c>
      <c r="B4">
        <v>2783</v>
      </c>
      <c r="C4">
        <v>2850</v>
      </c>
      <c r="D4">
        <v>2838</v>
      </c>
    </row>
    <row r="5" spans="1:4" x14ac:dyDescent="0.35">
      <c r="A5">
        <v>4</v>
      </c>
      <c r="B5">
        <v>2690</v>
      </c>
      <c r="C5">
        <v>2896</v>
      </c>
      <c r="D5">
        <v>2774</v>
      </c>
    </row>
    <row r="6" spans="1:4" x14ac:dyDescent="0.35">
      <c r="A6">
        <v>5</v>
      </c>
      <c r="B6">
        <v>2725</v>
      </c>
      <c r="C6">
        <v>2870</v>
      </c>
      <c r="D6">
        <v>2861</v>
      </c>
    </row>
    <row r="7" spans="1:4" x14ac:dyDescent="0.35">
      <c r="A7">
        <v>6</v>
      </c>
      <c r="B7">
        <v>2671</v>
      </c>
      <c r="C7">
        <v>2652</v>
      </c>
      <c r="D7">
        <v>2844</v>
      </c>
    </row>
    <row r="8" spans="1:4" x14ac:dyDescent="0.35">
      <c r="A8">
        <v>7</v>
      </c>
      <c r="B8">
        <v>2602</v>
      </c>
      <c r="C8">
        <v>2712</v>
      </c>
      <c r="D8">
        <v>2850</v>
      </c>
    </row>
    <row r="9" spans="1:4" x14ac:dyDescent="0.35">
      <c r="A9">
        <v>8</v>
      </c>
      <c r="B9">
        <v>2471</v>
      </c>
      <c r="C9">
        <v>2825</v>
      </c>
      <c r="D9">
        <v>2879</v>
      </c>
    </row>
    <row r="10" spans="1:4" x14ac:dyDescent="0.35">
      <c r="A10">
        <v>9</v>
      </c>
      <c r="B10">
        <v>2487</v>
      </c>
      <c r="C10">
        <v>2891</v>
      </c>
      <c r="D10">
        <v>2859</v>
      </c>
    </row>
    <row r="11" spans="1:4" x14ac:dyDescent="0.35">
      <c r="A11">
        <v>10</v>
      </c>
      <c r="B11">
        <v>2354</v>
      </c>
      <c r="C11">
        <v>2755</v>
      </c>
      <c r="D11">
        <v>2890</v>
      </c>
    </row>
    <row r="12" spans="1:4" x14ac:dyDescent="0.35">
      <c r="A12">
        <v>11</v>
      </c>
      <c r="B12">
        <v>2439</v>
      </c>
      <c r="C12">
        <v>2660</v>
      </c>
      <c r="D12">
        <v>3017</v>
      </c>
    </row>
    <row r="13" spans="1:4" x14ac:dyDescent="0.35">
      <c r="A13">
        <v>12</v>
      </c>
      <c r="B13">
        <v>2130</v>
      </c>
      <c r="C13">
        <v>2463</v>
      </c>
      <c r="D13">
        <v>2973</v>
      </c>
    </row>
    <row r="14" spans="1:4" x14ac:dyDescent="0.35">
      <c r="A14">
        <v>13</v>
      </c>
      <c r="C14">
        <v>2429</v>
      </c>
      <c r="D14">
        <v>2948</v>
      </c>
    </row>
    <row r="15" spans="1:4" x14ac:dyDescent="0.35">
      <c r="A15">
        <v>14</v>
      </c>
      <c r="C15">
        <v>2394</v>
      </c>
      <c r="D15">
        <v>2830</v>
      </c>
    </row>
    <row r="16" spans="1:4" x14ac:dyDescent="0.35">
      <c r="A16">
        <v>15</v>
      </c>
      <c r="C16">
        <v>2350</v>
      </c>
      <c r="D16">
        <v>2646</v>
      </c>
    </row>
    <row r="17" spans="1:4" x14ac:dyDescent="0.35">
      <c r="A17">
        <v>16</v>
      </c>
      <c r="C17">
        <v>2295</v>
      </c>
      <c r="D17">
        <v>2548</v>
      </c>
    </row>
    <row r="18" spans="1:4" x14ac:dyDescent="0.35">
      <c r="A18">
        <v>17</v>
      </c>
      <c r="C18">
        <v>2255</v>
      </c>
      <c r="D18">
        <v>2481</v>
      </c>
    </row>
    <row r="19" spans="1:4" x14ac:dyDescent="0.35">
      <c r="A19">
        <v>18</v>
      </c>
      <c r="C19">
        <v>2276</v>
      </c>
      <c r="D19">
        <v>2416</v>
      </c>
    </row>
    <row r="20" spans="1:4" x14ac:dyDescent="0.35">
      <c r="A20">
        <v>19</v>
      </c>
      <c r="C20">
        <v>2245</v>
      </c>
      <c r="D20">
        <v>2321</v>
      </c>
    </row>
    <row r="21" spans="1:4" x14ac:dyDescent="0.35">
      <c r="A21">
        <v>20</v>
      </c>
      <c r="C21">
        <v>2241</v>
      </c>
      <c r="D21">
        <v>2287</v>
      </c>
    </row>
    <row r="22" spans="1:4" x14ac:dyDescent="0.35">
      <c r="A22">
        <v>21</v>
      </c>
      <c r="C22">
        <v>2271</v>
      </c>
      <c r="D22">
        <v>2265</v>
      </c>
    </row>
    <row r="23" spans="1:4" x14ac:dyDescent="0.35">
      <c r="A23">
        <v>22</v>
      </c>
      <c r="C23">
        <v>2307</v>
      </c>
      <c r="D23">
        <v>2288</v>
      </c>
    </row>
    <row r="24" spans="1:4" x14ac:dyDescent="0.35">
      <c r="A24">
        <v>23</v>
      </c>
      <c r="C24">
        <v>2371</v>
      </c>
      <c r="D24">
        <v>2295</v>
      </c>
    </row>
    <row r="25" spans="1:4" x14ac:dyDescent="0.35">
      <c r="A25">
        <v>24</v>
      </c>
      <c r="C25">
        <v>2073</v>
      </c>
      <c r="D25">
        <v>2147</v>
      </c>
    </row>
    <row r="26" spans="1:4" x14ac:dyDescent="0.35">
      <c r="A26">
        <v>25</v>
      </c>
      <c r="C26">
        <v>2085</v>
      </c>
      <c r="D26">
        <v>2343</v>
      </c>
    </row>
    <row r="27" spans="1:4" x14ac:dyDescent="0.35">
      <c r="A27">
        <v>26</v>
      </c>
      <c r="C27">
        <v>2259</v>
      </c>
      <c r="D27">
        <v>2328</v>
      </c>
    </row>
    <row r="28" spans="1:4" x14ac:dyDescent="0.35">
      <c r="A28">
        <v>27</v>
      </c>
      <c r="C28">
        <v>2180</v>
      </c>
      <c r="D28">
        <v>2234</v>
      </c>
    </row>
    <row r="29" spans="1:4" x14ac:dyDescent="0.35">
      <c r="A29">
        <v>28</v>
      </c>
      <c r="C29">
        <v>2036</v>
      </c>
      <c r="D29">
        <v>2325</v>
      </c>
    </row>
    <row r="30" spans="1:4" x14ac:dyDescent="0.35">
      <c r="A30">
        <v>29</v>
      </c>
      <c r="C30">
        <v>2020</v>
      </c>
      <c r="D30">
        <v>2375</v>
      </c>
    </row>
    <row r="31" spans="1:4" x14ac:dyDescent="0.35">
      <c r="A31">
        <v>30</v>
      </c>
      <c r="C31">
        <v>2146</v>
      </c>
      <c r="D31">
        <v>2294</v>
      </c>
    </row>
    <row r="32" spans="1:4" x14ac:dyDescent="0.35">
      <c r="A32">
        <v>31</v>
      </c>
      <c r="C32">
        <v>1976</v>
      </c>
      <c r="D32">
        <v>2143</v>
      </c>
    </row>
    <row r="33" spans="1:4" x14ac:dyDescent="0.35">
      <c r="A33">
        <v>32</v>
      </c>
      <c r="C33">
        <v>2175</v>
      </c>
      <c r="D33">
        <v>2229</v>
      </c>
    </row>
    <row r="34" spans="1:4" x14ac:dyDescent="0.35">
      <c r="A34">
        <v>33</v>
      </c>
      <c r="C34">
        <v>2221</v>
      </c>
      <c r="D34">
        <v>2405</v>
      </c>
    </row>
    <row r="35" spans="1:4" x14ac:dyDescent="0.35">
      <c r="A35">
        <v>34</v>
      </c>
      <c r="C35">
        <v>1935</v>
      </c>
      <c r="D35">
        <v>2241</v>
      </c>
    </row>
    <row r="36" spans="1:4" x14ac:dyDescent="0.35">
      <c r="A36">
        <v>35</v>
      </c>
      <c r="C36">
        <v>2158</v>
      </c>
      <c r="D36">
        <v>2217</v>
      </c>
    </row>
    <row r="37" spans="1:4" x14ac:dyDescent="0.35">
      <c r="A37">
        <v>36</v>
      </c>
      <c r="C37">
        <v>2062</v>
      </c>
      <c r="D37">
        <v>2257</v>
      </c>
    </row>
    <row r="38" spans="1:4" x14ac:dyDescent="0.35">
      <c r="A38">
        <v>37</v>
      </c>
      <c r="C38">
        <v>2069</v>
      </c>
      <c r="D38">
        <v>2228</v>
      </c>
    </row>
    <row r="39" spans="1:4" x14ac:dyDescent="0.35">
      <c r="A39">
        <v>38</v>
      </c>
      <c r="C39">
        <v>2084</v>
      </c>
      <c r="D39">
        <v>2309</v>
      </c>
    </row>
    <row r="40" spans="1:4" x14ac:dyDescent="0.35">
      <c r="A40">
        <v>39</v>
      </c>
      <c r="C40">
        <v>2136</v>
      </c>
      <c r="D40">
        <v>2387</v>
      </c>
    </row>
    <row r="41" spans="1:4" x14ac:dyDescent="0.35">
      <c r="A41">
        <v>40</v>
      </c>
      <c r="C41">
        <v>2350</v>
      </c>
      <c r="D41">
        <v>2480</v>
      </c>
    </row>
    <row r="42" spans="1:4" x14ac:dyDescent="0.35">
      <c r="A42">
        <v>41</v>
      </c>
      <c r="C42">
        <v>2425</v>
      </c>
      <c r="D42">
        <v>2534</v>
      </c>
    </row>
    <row r="43" spans="1:4" x14ac:dyDescent="0.35">
      <c r="A43">
        <v>42</v>
      </c>
      <c r="C43">
        <v>2368</v>
      </c>
      <c r="D43">
        <v>2501</v>
      </c>
    </row>
    <row r="44" spans="1:4" x14ac:dyDescent="0.35">
      <c r="A44">
        <v>43</v>
      </c>
      <c r="C44">
        <v>2436</v>
      </c>
      <c r="D44">
        <v>2624</v>
      </c>
    </row>
    <row r="45" spans="1:4" x14ac:dyDescent="0.35">
      <c r="A45">
        <v>44</v>
      </c>
      <c r="C45">
        <v>2355</v>
      </c>
      <c r="D45">
        <v>2629</v>
      </c>
    </row>
    <row r="46" spans="1:4" x14ac:dyDescent="0.35">
      <c r="A46">
        <v>45</v>
      </c>
      <c r="C46">
        <v>2310</v>
      </c>
      <c r="D46">
        <v>2639</v>
      </c>
    </row>
    <row r="47" spans="1:4" x14ac:dyDescent="0.35">
      <c r="A47">
        <v>46</v>
      </c>
      <c r="C47">
        <v>2321</v>
      </c>
      <c r="D47">
        <v>2716</v>
      </c>
    </row>
    <row r="48" spans="1:4" x14ac:dyDescent="0.35">
      <c r="A48">
        <v>47</v>
      </c>
      <c r="C48">
        <v>2349</v>
      </c>
      <c r="D48">
        <v>2816</v>
      </c>
    </row>
    <row r="49" spans="1:4" x14ac:dyDescent="0.35">
      <c r="A49">
        <v>48</v>
      </c>
      <c r="C49">
        <v>2392</v>
      </c>
      <c r="D49">
        <v>2867</v>
      </c>
    </row>
    <row r="50" spans="1:4" x14ac:dyDescent="0.35">
      <c r="A50">
        <v>49</v>
      </c>
      <c r="C50">
        <v>2454</v>
      </c>
      <c r="D50">
        <v>2909</v>
      </c>
    </row>
    <row r="51" spans="1:4" x14ac:dyDescent="0.35">
      <c r="A51">
        <v>50</v>
      </c>
      <c r="C51">
        <v>2284</v>
      </c>
      <c r="D51">
        <v>2823</v>
      </c>
    </row>
    <row r="52" spans="1:4" x14ac:dyDescent="0.35">
      <c r="A52">
        <v>51</v>
      </c>
      <c r="C52">
        <v>2549</v>
      </c>
      <c r="D52">
        <v>2902</v>
      </c>
    </row>
    <row r="53" spans="1:4" x14ac:dyDescent="0.35">
      <c r="A53">
        <v>52</v>
      </c>
      <c r="C53">
        <v>2579</v>
      </c>
      <c r="D53">
        <v>2938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F3800-EA9B-4007-A1DB-621F47B4BC20}">
  <dimension ref="A1:B54"/>
  <sheetViews>
    <sheetView tabSelected="1" topLeftCell="A44" workbookViewId="0">
      <selection activeCell="B55" sqref="B55"/>
    </sheetView>
  </sheetViews>
  <sheetFormatPr defaultRowHeight="14.5" x14ac:dyDescent="0.35"/>
  <sheetData>
    <row r="1" spans="1:2" x14ac:dyDescent="0.35">
      <c r="A1" t="s">
        <v>2</v>
      </c>
      <c r="B1" t="s">
        <v>4</v>
      </c>
    </row>
    <row r="2" spans="1:2" x14ac:dyDescent="0.35">
      <c r="A2">
        <v>1</v>
      </c>
      <c r="B2">
        <f>weekly_data!D2/(SUM(weekly_data!D$2:D$53))</f>
        <v>2.2309387724606822E-2</v>
      </c>
    </row>
    <row r="3" spans="1:2" x14ac:dyDescent="0.35">
      <c r="A3">
        <v>2</v>
      </c>
      <c r="B3">
        <f>weekly_data!D3/(SUM(weekly_data!D$2:D$53))</f>
        <v>2.1734095408868469E-2</v>
      </c>
    </row>
    <row r="4" spans="1:2" x14ac:dyDescent="0.35">
      <c r="A4">
        <v>3</v>
      </c>
      <c r="B4">
        <f>weekly_data!D4/(SUM(weekly_data!D$2:D$53))</f>
        <v>2.1203631065785052E-2</v>
      </c>
    </row>
    <row r="5" spans="1:2" x14ac:dyDescent="0.35">
      <c r="A5">
        <v>4</v>
      </c>
      <c r="B5">
        <f>weekly_data!D5/(SUM(weekly_data!D$2:D$53))</f>
        <v>2.0725466024132392E-2</v>
      </c>
    </row>
    <row r="6" spans="1:2" x14ac:dyDescent="0.35">
      <c r="A6">
        <v>5</v>
      </c>
      <c r="B6">
        <f>weekly_data!D6/(SUM(weekly_data!D$2:D$53))</f>
        <v>2.1375471627628973E-2</v>
      </c>
    </row>
    <row r="7" spans="1:2" x14ac:dyDescent="0.35">
      <c r="A7">
        <v>6</v>
      </c>
      <c r="B7">
        <f>weekly_data!D7/(SUM(weekly_data!D$2:D$53))</f>
        <v>2.1248459038439988E-2</v>
      </c>
    </row>
    <row r="8" spans="1:2" x14ac:dyDescent="0.35">
      <c r="A8">
        <v>7</v>
      </c>
      <c r="B8">
        <f>weekly_data!D8/(SUM(weekly_data!D$2:D$53))</f>
        <v>2.1293287011094925E-2</v>
      </c>
    </row>
    <row r="9" spans="1:2" x14ac:dyDescent="0.35">
      <c r="A9">
        <v>8</v>
      </c>
      <c r="B9">
        <f>weekly_data!D9/(SUM(weekly_data!D$2:D$53))</f>
        <v>2.1509955545593783E-2</v>
      </c>
    </row>
    <row r="10" spans="1:2" x14ac:dyDescent="0.35">
      <c r="A10">
        <v>9</v>
      </c>
      <c r="B10">
        <f>weekly_data!D10/(SUM(weekly_data!D$2:D$53))</f>
        <v>2.1360528970077328E-2</v>
      </c>
    </row>
    <row r="11" spans="1:2" x14ac:dyDescent="0.35">
      <c r="A11">
        <v>10</v>
      </c>
      <c r="B11">
        <f>weekly_data!D11/(SUM(weekly_data!D$2:D$53))</f>
        <v>2.1592140162127835E-2</v>
      </c>
    </row>
    <row r="12" spans="1:2" x14ac:dyDescent="0.35">
      <c r="A12">
        <v>11</v>
      </c>
      <c r="B12">
        <f>weekly_data!D12/(SUM(weekly_data!D$2:D$53))</f>
        <v>2.2540998916657326E-2</v>
      </c>
    </row>
    <row r="13" spans="1:2" x14ac:dyDescent="0.35">
      <c r="A13">
        <v>12</v>
      </c>
      <c r="B13">
        <f>weekly_data!D13/(SUM(weekly_data!D$2:D$53))</f>
        <v>2.2212260450521125E-2</v>
      </c>
    </row>
    <row r="14" spans="1:2" x14ac:dyDescent="0.35">
      <c r="A14">
        <v>13</v>
      </c>
      <c r="B14">
        <f>weekly_data!D14/(SUM(weekly_data!D$2:D$53))</f>
        <v>2.2025477231125554E-2</v>
      </c>
    </row>
    <row r="15" spans="1:2" x14ac:dyDescent="0.35">
      <c r="A15">
        <v>14</v>
      </c>
      <c r="B15">
        <f>weekly_data!D15/(SUM(weekly_data!D$2:D$53))</f>
        <v>2.1143860435578466E-2</v>
      </c>
    </row>
    <row r="16" spans="1:2" x14ac:dyDescent="0.35">
      <c r="A16">
        <v>15</v>
      </c>
      <c r="B16">
        <f>weekly_data!D16/(SUM(weekly_data!D$2:D$53))</f>
        <v>1.9769135940827076E-2</v>
      </c>
    </row>
    <row r="17" spans="1:2" x14ac:dyDescent="0.35">
      <c r="A17">
        <v>16</v>
      </c>
      <c r="B17">
        <f>weekly_data!D17/(SUM(weekly_data!D$2:D$53))</f>
        <v>1.9036945720796443E-2</v>
      </c>
    </row>
    <row r="18" spans="1:2" x14ac:dyDescent="0.35">
      <c r="A18">
        <v>17</v>
      </c>
      <c r="B18">
        <f>weekly_data!D18/(SUM(weekly_data!D$2:D$53))</f>
        <v>1.8536366692816317E-2</v>
      </c>
    </row>
    <row r="19" spans="1:2" x14ac:dyDescent="0.35">
      <c r="A19">
        <v>18</v>
      </c>
      <c r="B19">
        <f>weekly_data!D19/(SUM(weekly_data!D$2:D$53))</f>
        <v>1.8050730322387836E-2</v>
      </c>
    </row>
    <row r="20" spans="1:2" x14ac:dyDescent="0.35">
      <c r="A20">
        <v>19</v>
      </c>
      <c r="B20">
        <f>weekly_data!D20/(SUM(weekly_data!D$2:D$53))</f>
        <v>1.7340954088684673E-2</v>
      </c>
    </row>
    <row r="21" spans="1:2" x14ac:dyDescent="0.35">
      <c r="A21">
        <v>20</v>
      </c>
      <c r="B21">
        <f>weekly_data!D21/(SUM(weekly_data!D$2:D$53))</f>
        <v>1.7086928910306699E-2</v>
      </c>
    </row>
    <row r="22" spans="1:2" x14ac:dyDescent="0.35">
      <c r="A22">
        <v>21</v>
      </c>
      <c r="B22">
        <f>weekly_data!D22/(SUM(weekly_data!D$2:D$53))</f>
        <v>1.6922559677238595E-2</v>
      </c>
    </row>
    <row r="23" spans="1:2" x14ac:dyDescent="0.35">
      <c r="A23">
        <v>22</v>
      </c>
      <c r="B23">
        <f>weekly_data!D23/(SUM(weekly_data!D$2:D$53))</f>
        <v>1.709440023908252E-2</v>
      </c>
    </row>
    <row r="24" spans="1:2" x14ac:dyDescent="0.35">
      <c r="A24">
        <v>23</v>
      </c>
      <c r="B24">
        <f>weekly_data!D24/(SUM(weekly_data!D$2:D$53))</f>
        <v>1.7146699540513281E-2</v>
      </c>
    </row>
    <row r="25" spans="1:2" x14ac:dyDescent="0.35">
      <c r="A25">
        <v>24</v>
      </c>
      <c r="B25">
        <f>weekly_data!D25/(SUM(weekly_data!D$2:D$53))</f>
        <v>1.604094288169151E-2</v>
      </c>
    </row>
    <row r="26" spans="1:2" x14ac:dyDescent="0.35">
      <c r="A26">
        <v>25</v>
      </c>
      <c r="B26">
        <f>weekly_data!D26/(SUM(weekly_data!D$2:D$53))</f>
        <v>1.7505323321752773E-2</v>
      </c>
    </row>
    <row r="27" spans="1:2" x14ac:dyDescent="0.35">
      <c r="A27">
        <v>26</v>
      </c>
      <c r="B27">
        <f>weekly_data!D27/(SUM(weekly_data!D$2:D$53))</f>
        <v>1.739325339011543E-2</v>
      </c>
    </row>
    <row r="28" spans="1:2" x14ac:dyDescent="0.35">
      <c r="A28">
        <v>27</v>
      </c>
      <c r="B28">
        <f>weekly_data!D28/(SUM(weekly_data!D$2:D$53))</f>
        <v>1.6690948485188092E-2</v>
      </c>
    </row>
    <row r="29" spans="1:2" x14ac:dyDescent="0.35">
      <c r="A29">
        <v>28</v>
      </c>
      <c r="B29">
        <f>weekly_data!D29/(SUM(weekly_data!D$2:D$53))</f>
        <v>1.7370839403787964E-2</v>
      </c>
    </row>
    <row r="30" spans="1:2" x14ac:dyDescent="0.35">
      <c r="A30">
        <v>29</v>
      </c>
      <c r="B30">
        <f>weekly_data!D30/(SUM(weekly_data!D$2:D$53))</f>
        <v>1.7744405842579102E-2</v>
      </c>
    </row>
    <row r="31" spans="1:2" x14ac:dyDescent="0.35">
      <c r="A31">
        <v>30</v>
      </c>
      <c r="B31">
        <f>weekly_data!D31/(SUM(weekly_data!D$2:D$53))</f>
        <v>1.7139228211737457E-2</v>
      </c>
    </row>
    <row r="32" spans="1:2" x14ac:dyDescent="0.35">
      <c r="A32">
        <v>31</v>
      </c>
      <c r="B32">
        <f>weekly_data!D32/(SUM(weekly_data!D$2:D$53))</f>
        <v>1.6011057566588216E-2</v>
      </c>
    </row>
    <row r="33" spans="1:2" x14ac:dyDescent="0.35">
      <c r="A33">
        <v>32</v>
      </c>
      <c r="B33">
        <f>weekly_data!D33/(SUM(weekly_data!D$2:D$53))</f>
        <v>1.6653591841308976E-2</v>
      </c>
    </row>
    <row r="34" spans="1:2" x14ac:dyDescent="0.35">
      <c r="A34">
        <v>33</v>
      </c>
      <c r="B34">
        <f>weekly_data!D34/(SUM(weekly_data!D$2:D$53))</f>
        <v>1.7968545705853788E-2</v>
      </c>
    </row>
    <row r="35" spans="1:2" x14ac:dyDescent="0.35">
      <c r="A35">
        <v>34</v>
      </c>
      <c r="B35">
        <f>weekly_data!D35/(SUM(weekly_data!D$2:D$53))</f>
        <v>1.6743247786618849E-2</v>
      </c>
    </row>
    <row r="36" spans="1:2" x14ac:dyDescent="0.35">
      <c r="A36">
        <v>35</v>
      </c>
      <c r="B36">
        <f>weekly_data!D36/(SUM(weekly_data!D$2:D$53))</f>
        <v>1.6563935895999103E-2</v>
      </c>
    </row>
    <row r="37" spans="1:2" x14ac:dyDescent="0.35">
      <c r="A37">
        <v>36</v>
      </c>
      <c r="B37">
        <f>weekly_data!D37/(SUM(weekly_data!D$2:D$53))</f>
        <v>1.6862789047032013E-2</v>
      </c>
    </row>
    <row r="38" spans="1:2" x14ac:dyDescent="0.35">
      <c r="A38">
        <v>37</v>
      </c>
      <c r="B38">
        <f>weekly_data!D38/(SUM(weekly_data!D$2:D$53))</f>
        <v>1.6646120512533155E-2</v>
      </c>
    </row>
    <row r="39" spans="1:2" x14ac:dyDescent="0.35">
      <c r="A39">
        <v>38</v>
      </c>
      <c r="B39">
        <f>weekly_data!D39/(SUM(weekly_data!D$2:D$53))</f>
        <v>1.72512981433748E-2</v>
      </c>
    </row>
    <row r="40" spans="1:2" x14ac:dyDescent="0.35">
      <c r="A40">
        <v>39</v>
      </c>
      <c r="B40">
        <f>weekly_data!D40/(SUM(weekly_data!D$2:D$53))</f>
        <v>1.7834061787888975E-2</v>
      </c>
    </row>
    <row r="41" spans="1:2" x14ac:dyDescent="0.35">
      <c r="A41">
        <v>40</v>
      </c>
      <c r="B41">
        <f>weekly_data!D41/(SUM(weekly_data!D$2:D$53))</f>
        <v>1.8528895364040496E-2</v>
      </c>
    </row>
    <row r="42" spans="1:2" x14ac:dyDescent="0.35">
      <c r="A42">
        <v>41</v>
      </c>
      <c r="B42">
        <f>weekly_data!D42/(SUM(weekly_data!D$2:D$53))</f>
        <v>1.8932347117934924E-2</v>
      </c>
    </row>
    <row r="43" spans="1:2" x14ac:dyDescent="0.35">
      <c r="A43">
        <v>42</v>
      </c>
      <c r="B43">
        <f>weekly_data!D43/(SUM(weekly_data!D$2:D$53))</f>
        <v>1.8685793268332772E-2</v>
      </c>
    </row>
    <row r="44" spans="1:2" x14ac:dyDescent="0.35">
      <c r="A44">
        <v>43</v>
      </c>
      <c r="B44">
        <f>weekly_data!D44/(SUM(weekly_data!D$2:D$53))</f>
        <v>1.9604766707758976E-2</v>
      </c>
    </row>
    <row r="45" spans="1:2" x14ac:dyDescent="0.35">
      <c r="A45">
        <v>44</v>
      </c>
      <c r="B45">
        <f>weekly_data!D45/(SUM(weekly_data!D$2:D$53))</f>
        <v>1.9642123351638088E-2</v>
      </c>
    </row>
    <row r="46" spans="1:2" x14ac:dyDescent="0.35">
      <c r="A46">
        <v>45</v>
      </c>
      <c r="B46">
        <f>weekly_data!D46/(SUM(weekly_data!D$2:D$53))</f>
        <v>1.9716836639396315E-2</v>
      </c>
    </row>
    <row r="47" spans="1:2" x14ac:dyDescent="0.35">
      <c r="A47">
        <v>46</v>
      </c>
      <c r="B47">
        <f>weekly_data!D47/(SUM(weekly_data!D$2:D$53))</f>
        <v>2.0292128955134672E-2</v>
      </c>
    </row>
    <row r="48" spans="1:2" x14ac:dyDescent="0.35">
      <c r="A48">
        <v>47</v>
      </c>
      <c r="B48">
        <f>weekly_data!D48/(SUM(weekly_data!D$2:D$53))</f>
        <v>2.1039261832716948E-2</v>
      </c>
    </row>
    <row r="49" spans="1:2" x14ac:dyDescent="0.35">
      <c r="A49">
        <v>48</v>
      </c>
      <c r="B49">
        <f>weekly_data!D49/(SUM(weekly_data!D$2:D$53))</f>
        <v>2.142029960028391E-2</v>
      </c>
    </row>
    <row r="50" spans="1:2" x14ac:dyDescent="0.35">
      <c r="A50">
        <v>49</v>
      </c>
      <c r="B50">
        <f>weekly_data!D50/(SUM(weekly_data!D$2:D$53))</f>
        <v>2.1734095408868469E-2</v>
      </c>
    </row>
    <row r="51" spans="1:2" x14ac:dyDescent="0.35">
      <c r="A51">
        <v>50</v>
      </c>
      <c r="B51">
        <f>weekly_data!D51/(SUM(weekly_data!D$2:D$53))</f>
        <v>2.1091561134147709E-2</v>
      </c>
    </row>
    <row r="52" spans="1:2" x14ac:dyDescent="0.35">
      <c r="A52">
        <v>51</v>
      </c>
      <c r="B52">
        <f>weekly_data!D52/(SUM(weekly_data!D$2:D$53))</f>
        <v>2.1681796107437708E-2</v>
      </c>
    </row>
    <row r="53" spans="1:2" x14ac:dyDescent="0.35">
      <c r="A53">
        <v>52</v>
      </c>
      <c r="B53">
        <f>weekly_data!D53/(SUM(weekly_data!D$2:D$53))</f>
        <v>2.1950763943367327E-2</v>
      </c>
    </row>
    <row r="54" spans="1:2" x14ac:dyDescent="0.35">
      <c r="A54">
        <v>53</v>
      </c>
      <c r="B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deaths</vt:lpstr>
      <vt:lpstr>weekly_data</vt:lpstr>
      <vt:lpstr>weekly_rates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Csuma-Kovács Rita</dc:creator>
  <cp:lastModifiedBy>Rita Csuma-Kovács</cp:lastModifiedBy>
  <dcterms:created xsi:type="dcterms:W3CDTF">2015-06-05T18:19:34Z</dcterms:created>
  <dcterms:modified xsi:type="dcterms:W3CDTF">2026-04-16T08:27:43Z</dcterms:modified>
</cp:coreProperties>
</file>