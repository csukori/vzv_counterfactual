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SURITA\PycharmProjects\PythonProject\counterfactual-analysis-vzv\resources\"/>
    </mc:Choice>
  </mc:AlternateContent>
  <xr:revisionPtr revIDLastSave="0" documentId="13_ncr:1_{BA63DE96-F78F-43DE-B84F-2E75D9BC7C78}" xr6:coauthVersionLast="47" xr6:coauthVersionMax="47" xr10:uidLastSave="{00000000-0000-0000-0000-000000000000}"/>
  <bookViews>
    <workbookView xWindow="320" yWindow="1520" windowWidth="18880" windowHeight="9660" activeTab="3" xr2:uid="{00000000-000D-0000-FFFF-FFFF00000000}"/>
  </bookViews>
  <sheets>
    <sheet name="population" sheetId="1" r:id="rId1"/>
    <sheet name="population11" sheetId="2" r:id="rId2"/>
    <sheet name="population16" sheetId="3" r:id="rId3"/>
    <sheet name="population2005-202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/>
  <c r="B11" i="3"/>
  <c r="B10" i="3"/>
  <c r="B9" i="3"/>
  <c r="B8" i="3"/>
  <c r="B7" i="3"/>
  <c r="B6" i="3"/>
  <c r="B5" i="3"/>
  <c r="B4" i="3"/>
  <c r="B3" i="3"/>
  <c r="B2" i="3"/>
  <c r="B12" i="2"/>
  <c r="B3" i="2"/>
  <c r="B4" i="2"/>
  <c r="B5" i="2"/>
  <c r="B6" i="2"/>
  <c r="B7" i="2"/>
  <c r="B8" i="2"/>
  <c r="B9" i="2"/>
  <c r="B10" i="2"/>
  <c r="B11" i="2"/>
  <c r="B2" i="2"/>
  <c r="B2" i="1"/>
</calcChain>
</file>

<file path=xl/sharedStrings.xml><?xml version="1.0" encoding="utf-8"?>
<sst xmlns="http://schemas.openxmlformats.org/spreadsheetml/2006/main" count="8" uniqueCount="5">
  <si>
    <t>15-19</t>
  </si>
  <si>
    <t>20+</t>
  </si>
  <si>
    <t>10-14</t>
  </si>
  <si>
    <t>10+</t>
  </si>
  <si>
    <t>15+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</si>
</sst>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[Red]#,##0"/>
    <numFmt numFmtId="165" formatCode="#,##0;;\-;@"/>
    <numFmt numFmtId="166" formatCode="_-* #,##0_-;\-* #,##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1"/>
      <name val="Arial Narrow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sz val="10"/>
      <name val="Switzerland"/>
      <charset val="238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43" fontId="4" fillId="0" borderId="0" applyFont="0" applyFill="0" applyBorder="0" applyAlignment="0" applyProtection="0"/>
    <xf numFmtId="0" fontId="6" fillId="0" borderId="0" applyNumberFormat="0" applyFont="0" applyFill="0" applyBorder="0" applyAlignment="0" applyProtection="0">
      <alignment vertical="top"/>
    </xf>
    <xf numFmtId="0" fontId="8" fillId="0" borderId="0"/>
    <xf numFmtId="0" fontId="2" fillId="0" borderId="0"/>
    <xf numFmtId="0" fontId="6" fillId="0" borderId="0" applyNumberFormat="0" applyFont="0" applyFill="0" applyBorder="0" applyAlignment="0" applyProtection="0">
      <alignment vertical="top"/>
    </xf>
  </cellStyleXfs>
  <cellXfs count="16">
    <xf numFmtId="0" fontId="0" fillId="0" borderId="0" xfId="0"/>
    <xf numFmtId="1" fontId="0" fillId="0" borderId="0" xfId="0" applyNumberFormat="1"/>
    <xf numFmtId="1" fontId="3" fillId="0" borderId="0" xfId="1" applyNumberFormat="1" applyFont="1" applyAlignment="1">
      <alignment vertical="center"/>
    </xf>
    <xf numFmtId="49" fontId="0" fillId="0" borderId="0" xfId="0" applyNumberFormat="1"/>
    <xf numFmtId="0" fontId="7" fillId="0" borderId="0" xfId="3" applyNumberFormat="1" applyFont="1" applyFill="1" applyBorder="1" applyAlignment="1" applyProtection="1">
      <alignment horizontal="center" vertical="center"/>
    </xf>
    <xf numFmtId="0" fontId="7" fillId="0" borderId="0" xfId="3" applyNumberFormat="1" applyFont="1" applyFill="1" applyBorder="1" applyAlignment="1" applyProtection="1">
      <alignment horizontal="center" wrapText="1"/>
    </xf>
    <xf numFmtId="0" fontId="5" fillId="0" borderId="0" xfId="4" applyFont="1" applyAlignment="1">
      <alignment horizontal="center" wrapText="1"/>
    </xf>
    <xf numFmtId="0" fontId="1" fillId="0" borderId="0" xfId="0" applyFont="1"/>
    <xf numFmtId="3" fontId="9" fillId="0" borderId="0" xfId="5" applyNumberFormat="1" applyFont="1" applyAlignment="1">
      <alignment horizontal="right"/>
    </xf>
    <xf numFmtId="3" fontId="9" fillId="0" borderId="0" xfId="0" applyNumberFormat="1" applyFont="1" applyAlignment="1">
      <alignment vertical="center"/>
    </xf>
    <xf numFmtId="3" fontId="9" fillId="0" borderId="0" xfId="0" applyNumberFormat="1" applyFont="1"/>
    <xf numFmtId="49" fontId="1" fillId="0" borderId="0" xfId="0" applyNumberFormat="1" applyFont="1"/>
    <xf numFmtId="164" fontId="9" fillId="0" borderId="0" xfId="6" applyNumberFormat="1" applyFont="1" applyFill="1" applyBorder="1" applyAlignment="1" applyProtection="1">
      <alignment horizontal="right" indent="1"/>
    </xf>
    <xf numFmtId="3" fontId="9" fillId="0" borderId="0" xfId="6" applyNumberFormat="1" applyFont="1" applyFill="1" applyBorder="1" applyAlignment="1" applyProtection="1">
      <alignment horizontal="right" indent="1"/>
    </xf>
    <xf numFmtId="165" fontId="9" fillId="0" borderId="0" xfId="0" applyNumberFormat="1" applyFont="1" applyAlignment="1">
      <alignment horizontal="right" indent="1"/>
    </xf>
    <xf numFmtId="166" fontId="1" fillId="0" borderId="0" xfId="2" applyNumberFormat="1" applyFont="1"/>
  </cellXfs>
  <cellStyles count="7">
    <cellStyle name="Ezres" xfId="2" builtinId="3"/>
    <cellStyle name="Normál" xfId="0" builtinId="0"/>
    <cellStyle name="Normál 2" xfId="1" xr:uid="{3C3F4862-CAB2-4A73-A7D4-A3CCFB10D0E9}"/>
    <cellStyle name="Normál_11_életkor_2010" xfId="6" xr:uid="{89FD6A40-52B1-42CE-8D53-27E047F33C07}"/>
    <cellStyle name="Normál_13_halálozás-életkor_2010" xfId="3" xr:uid="{E595E4BC-7A3A-42D5-86E8-CB17851156BF}"/>
    <cellStyle name="Normál_2009.V.1-3" xfId="4" xr:uid="{04361BDA-60E6-40F9-AAED-74C3F60A5FFA}"/>
    <cellStyle name="Normál_6_2_1_1" xfId="5" xr:uid="{3A350A40-1BAE-4126-8DB2-C35FA439B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A2" sqref="A2:A12"/>
    </sheetView>
  </sheetViews>
  <sheetFormatPr defaultRowHeight="14.5"/>
  <cols>
    <col min="1" max="1" width="8.7265625" style="3"/>
    <col min="2" max="2" width="13.81640625" style="1" bestFit="1" customWidth="1"/>
  </cols>
  <sheetData>
    <row r="1" spans="1:2">
      <c r="B1" s="1">
        <v>2005</v>
      </c>
    </row>
    <row r="2" spans="1:2">
      <c r="A2" s="3">
        <v>0</v>
      </c>
      <c r="B2" s="2">
        <f>96495*(1/3)</f>
        <v>32165</v>
      </c>
    </row>
    <row r="3" spans="1:2">
      <c r="A3" s="3">
        <v>1</v>
      </c>
      <c r="B3" s="2">
        <v>94638</v>
      </c>
    </row>
    <row r="4" spans="1:2">
      <c r="A4" s="3">
        <v>2</v>
      </c>
      <c r="B4" s="2">
        <v>94285</v>
      </c>
    </row>
    <row r="5" spans="1:2">
      <c r="A5" s="3">
        <v>3</v>
      </c>
      <c r="B5" s="2">
        <v>96372</v>
      </c>
    </row>
    <row r="6" spans="1:2">
      <c r="A6" s="3">
        <v>4</v>
      </c>
      <c r="B6" s="2">
        <v>96591</v>
      </c>
    </row>
    <row r="7" spans="1:2">
      <c r="A7" s="3">
        <v>5</v>
      </c>
      <c r="B7" s="2">
        <v>98038</v>
      </c>
    </row>
    <row r="8" spans="1:2">
      <c r="A8" s="3">
        <v>6</v>
      </c>
      <c r="B8" s="2">
        <v>93837</v>
      </c>
    </row>
    <row r="9" spans="1:2">
      <c r="A9" s="3">
        <v>7</v>
      </c>
      <c r="B9" s="2">
        <v>96122</v>
      </c>
    </row>
    <row r="10" spans="1:2">
      <c r="A10" s="3">
        <v>8</v>
      </c>
      <c r="B10" s="2">
        <v>98531</v>
      </c>
    </row>
    <row r="11" spans="1:2">
      <c r="A11" s="3">
        <v>9</v>
      </c>
      <c r="B11" s="2">
        <v>104398</v>
      </c>
    </row>
    <row r="12" spans="1:2">
      <c r="A12" s="3" t="s">
        <v>2</v>
      </c>
      <c r="B12" s="2">
        <v>584136</v>
      </c>
    </row>
    <row r="13" spans="1:2">
      <c r="A13" s="3" t="s">
        <v>0</v>
      </c>
      <c r="B13" s="2">
        <v>627223</v>
      </c>
    </row>
    <row r="14" spans="1:2">
      <c r="A14" s="3" t="s">
        <v>1</v>
      </c>
      <c r="B14" s="1">
        <v>7895915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7D01-DE06-42A3-B9D1-2ADAA37BE086}">
  <dimension ref="A1:B12"/>
  <sheetViews>
    <sheetView workbookViewId="0">
      <selection activeCell="B2" sqref="B2:B11"/>
    </sheetView>
  </sheetViews>
  <sheetFormatPr defaultRowHeight="14.5"/>
  <sheetData>
    <row r="1" spans="1:2">
      <c r="B1">
        <v>2005</v>
      </c>
    </row>
    <row r="2" spans="1:2">
      <c r="A2" s="3">
        <v>0</v>
      </c>
      <c r="B2" s="1">
        <f>population!B2</f>
        <v>32165</v>
      </c>
    </row>
    <row r="3" spans="1:2">
      <c r="A3" s="3">
        <v>1</v>
      </c>
      <c r="B3" s="1">
        <f>population!B3</f>
        <v>94638</v>
      </c>
    </row>
    <row r="4" spans="1:2">
      <c r="A4" s="3">
        <v>2</v>
      </c>
      <c r="B4" s="1">
        <f>population!B4</f>
        <v>94285</v>
      </c>
    </row>
    <row r="5" spans="1:2">
      <c r="A5" s="3">
        <v>3</v>
      </c>
      <c r="B5" s="1">
        <f>population!B5</f>
        <v>96372</v>
      </c>
    </row>
    <row r="6" spans="1:2">
      <c r="A6" s="3">
        <v>4</v>
      </c>
      <c r="B6" s="1">
        <f>population!B6</f>
        <v>96591</v>
      </c>
    </row>
    <row r="7" spans="1:2">
      <c r="A7" s="3">
        <v>5</v>
      </c>
      <c r="B7" s="1">
        <f>population!B7</f>
        <v>98038</v>
      </c>
    </row>
    <row r="8" spans="1:2">
      <c r="A8" s="3">
        <v>6</v>
      </c>
      <c r="B8" s="1">
        <f>population!B8</f>
        <v>93837</v>
      </c>
    </row>
    <row r="9" spans="1:2">
      <c r="A9" s="3">
        <v>7</v>
      </c>
      <c r="B9" s="1">
        <f>population!B9</f>
        <v>96122</v>
      </c>
    </row>
    <row r="10" spans="1:2">
      <c r="A10" s="3">
        <v>8</v>
      </c>
      <c r="B10" s="1">
        <f>population!B10</f>
        <v>98531</v>
      </c>
    </row>
    <row r="11" spans="1:2">
      <c r="A11" s="3">
        <v>9</v>
      </c>
      <c r="B11" s="1">
        <f>population!B11</f>
        <v>104398</v>
      </c>
    </row>
    <row r="12" spans="1:2">
      <c r="A12" s="3" t="s">
        <v>3</v>
      </c>
      <c r="B12" s="1">
        <f>SUM(population!B12:B14)</f>
        <v>9107274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DEBD-96ED-48EA-9B45-00E1ECD4B02E}">
  <dimension ref="A1:B17"/>
  <sheetViews>
    <sheetView workbookViewId="0">
      <selection activeCell="B18" sqref="B18"/>
    </sheetView>
  </sheetViews>
  <sheetFormatPr defaultRowHeight="14.5"/>
  <sheetData>
    <row r="1" spans="1:2">
      <c r="B1">
        <v>2005</v>
      </c>
    </row>
    <row r="2" spans="1:2">
      <c r="A2" s="3">
        <v>0</v>
      </c>
      <c r="B2" s="1">
        <f>population!B2</f>
        <v>32165</v>
      </c>
    </row>
    <row r="3" spans="1:2">
      <c r="A3" s="3">
        <v>1</v>
      </c>
      <c r="B3" s="1">
        <f>population!B3</f>
        <v>94638</v>
      </c>
    </row>
    <row r="4" spans="1:2">
      <c r="A4" s="3">
        <v>2</v>
      </c>
      <c r="B4" s="1">
        <f>population!B4</f>
        <v>94285</v>
      </c>
    </row>
    <row r="5" spans="1:2">
      <c r="A5" s="3">
        <v>3</v>
      </c>
      <c r="B5" s="1">
        <f>population!B5</f>
        <v>96372</v>
      </c>
    </row>
    <row r="6" spans="1:2">
      <c r="A6" s="3">
        <v>4</v>
      </c>
      <c r="B6" s="1">
        <f>population!B6</f>
        <v>96591</v>
      </c>
    </row>
    <row r="7" spans="1:2">
      <c r="A7" s="3">
        <v>5</v>
      </c>
      <c r="B7" s="1">
        <f>population!B7</f>
        <v>98038</v>
      </c>
    </row>
    <row r="8" spans="1:2">
      <c r="A8" s="3">
        <v>6</v>
      </c>
      <c r="B8" s="1">
        <f>population!B8</f>
        <v>93837</v>
      </c>
    </row>
    <row r="9" spans="1:2">
      <c r="A9" s="3">
        <v>7</v>
      </c>
      <c r="B9" s="1">
        <f>population!B9</f>
        <v>96122</v>
      </c>
    </row>
    <row r="10" spans="1:2">
      <c r="A10" s="3">
        <v>8</v>
      </c>
      <c r="B10" s="1">
        <f>population!B10</f>
        <v>98531</v>
      </c>
    </row>
    <row r="11" spans="1:2">
      <c r="A11" s="3">
        <v>9</v>
      </c>
      <c r="B11" s="1">
        <f>population!B11</f>
        <v>104398</v>
      </c>
    </row>
    <row r="12" spans="1:2">
      <c r="A12" s="3">
        <v>10</v>
      </c>
      <c r="B12" s="1">
        <v>110654</v>
      </c>
    </row>
    <row r="13" spans="1:2">
      <c r="A13" s="3">
        <v>11</v>
      </c>
      <c r="B13" s="1">
        <v>113092</v>
      </c>
    </row>
    <row r="14" spans="1:2">
      <c r="A14" s="3">
        <v>12</v>
      </c>
      <c r="B14" s="1">
        <v>115252</v>
      </c>
    </row>
    <row r="15" spans="1:2">
      <c r="A15" s="3">
        <v>13</v>
      </c>
      <c r="B15" s="1">
        <v>119977</v>
      </c>
    </row>
    <row r="16" spans="1:2">
      <c r="A16" s="3">
        <v>14</v>
      </c>
      <c r="B16" s="1">
        <v>125161</v>
      </c>
    </row>
    <row r="17" spans="1:2">
      <c r="A17" s="3" t="s">
        <v>4</v>
      </c>
      <c r="B17" s="1">
        <f>SUM(population!B13:B14)</f>
        <v>8523138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FB48-215D-42BD-A171-30F3142A5CB9}">
  <dimension ref="A1:U14"/>
  <sheetViews>
    <sheetView tabSelected="1" topLeftCell="G1" workbookViewId="0">
      <selection activeCell="V1" sqref="V1:V1048576"/>
    </sheetView>
  </sheetViews>
  <sheetFormatPr defaultRowHeight="14.5"/>
  <cols>
    <col min="8" max="21" width="10" bestFit="1" customWidth="1"/>
  </cols>
  <sheetData>
    <row r="1" spans="1:21">
      <c r="A1" s="4"/>
      <c r="B1" s="4">
        <v>2005</v>
      </c>
      <c r="C1" s="5">
        <v>2006</v>
      </c>
      <c r="D1" s="4">
        <v>2007</v>
      </c>
      <c r="E1" s="5">
        <v>2008</v>
      </c>
      <c r="F1" s="4">
        <v>2009</v>
      </c>
      <c r="G1" s="5">
        <v>2010</v>
      </c>
      <c r="H1" s="4">
        <v>2011</v>
      </c>
      <c r="I1" s="5">
        <v>2012</v>
      </c>
      <c r="J1" s="5">
        <v>2013</v>
      </c>
      <c r="K1" s="5">
        <v>2014</v>
      </c>
      <c r="L1" s="6">
        <v>2015</v>
      </c>
      <c r="M1" s="5">
        <v>2016</v>
      </c>
      <c r="N1" s="6">
        <v>2017</v>
      </c>
      <c r="O1" s="5">
        <v>2018</v>
      </c>
      <c r="P1" s="6">
        <v>2019</v>
      </c>
      <c r="Q1" s="5">
        <v>2020</v>
      </c>
      <c r="R1" s="6">
        <v>2021</v>
      </c>
      <c r="S1" s="5">
        <v>2022</v>
      </c>
      <c r="T1" s="6">
        <v>2023</v>
      </c>
      <c r="U1" s="5">
        <v>2024</v>
      </c>
    </row>
    <row r="2" spans="1:21">
      <c r="A2" s="7">
        <v>0</v>
      </c>
      <c r="B2" s="7">
        <v>96495</v>
      </c>
      <c r="C2" s="7">
        <v>96495</v>
      </c>
      <c r="D2" s="7">
        <v>98867</v>
      </c>
      <c r="E2" s="7">
        <v>96267</v>
      </c>
      <c r="F2" s="7">
        <v>97022</v>
      </c>
      <c r="G2" s="7">
        <v>94859</v>
      </c>
      <c r="H2" s="7">
        <v>88278</v>
      </c>
      <c r="I2" s="8">
        <v>88278</v>
      </c>
      <c r="J2" s="9">
        <v>87680</v>
      </c>
      <c r="K2" s="9">
        <v>89012</v>
      </c>
      <c r="L2" s="9">
        <v>89344</v>
      </c>
      <c r="M2" s="9">
        <v>92855</v>
      </c>
      <c r="N2" s="9">
        <v>91741</v>
      </c>
      <c r="O2" s="10">
        <v>94858</v>
      </c>
      <c r="P2" s="9">
        <v>94086</v>
      </c>
      <c r="Q2" s="9">
        <v>92521</v>
      </c>
      <c r="R2" s="9">
        <v>93324</v>
      </c>
      <c r="S2" s="9">
        <v>93594</v>
      </c>
      <c r="T2" s="9">
        <v>89471</v>
      </c>
      <c r="U2" s="9">
        <v>87136</v>
      </c>
    </row>
    <row r="3" spans="1:21">
      <c r="A3" s="7">
        <v>1</v>
      </c>
      <c r="B3" s="7">
        <v>94638</v>
      </c>
      <c r="C3" s="7">
        <v>94638</v>
      </c>
      <c r="D3" s="7">
        <v>97132</v>
      </c>
      <c r="E3" s="7">
        <v>99556</v>
      </c>
      <c r="F3" s="7">
        <v>96799</v>
      </c>
      <c r="G3" s="7">
        <v>98593</v>
      </c>
      <c r="H3" s="8">
        <v>91244</v>
      </c>
      <c r="I3" s="9">
        <v>89906</v>
      </c>
      <c r="J3" s="9">
        <v>87932</v>
      </c>
      <c r="K3" s="9">
        <v>90728</v>
      </c>
      <c r="L3" s="9">
        <v>89676</v>
      </c>
      <c r="M3" s="9">
        <v>93268</v>
      </c>
      <c r="N3" s="10">
        <v>91999</v>
      </c>
      <c r="O3" s="9">
        <v>95162</v>
      </c>
      <c r="P3" s="9">
        <v>92924</v>
      </c>
      <c r="Q3" s="9">
        <v>92882</v>
      </c>
      <c r="R3" s="9">
        <v>93677</v>
      </c>
      <c r="S3" s="9">
        <v>94583</v>
      </c>
      <c r="T3" s="9">
        <v>90047</v>
      </c>
      <c r="U3" s="9">
        <v>87451</v>
      </c>
    </row>
    <row r="4" spans="1:21">
      <c r="A4" s="7">
        <v>2</v>
      </c>
      <c r="B4" s="7">
        <v>94285</v>
      </c>
      <c r="C4" s="7">
        <v>94285</v>
      </c>
      <c r="D4" s="7">
        <v>95131</v>
      </c>
      <c r="E4" s="7">
        <v>97688</v>
      </c>
      <c r="F4" s="7">
        <v>100076</v>
      </c>
      <c r="G4" s="7">
        <v>97748</v>
      </c>
      <c r="H4" s="8">
        <v>97905</v>
      </c>
      <c r="I4" s="9">
        <v>96679</v>
      </c>
      <c r="J4" s="9">
        <v>90027</v>
      </c>
      <c r="K4" s="9">
        <v>88050</v>
      </c>
      <c r="L4" s="9">
        <v>90971</v>
      </c>
      <c r="M4" s="9">
        <v>89987</v>
      </c>
      <c r="N4" s="10">
        <v>93369</v>
      </c>
      <c r="O4" s="9">
        <v>92247</v>
      </c>
      <c r="P4" s="9">
        <v>94481</v>
      </c>
      <c r="Q4" s="9">
        <v>93195</v>
      </c>
      <c r="R4" s="9">
        <v>93107</v>
      </c>
      <c r="S4" s="9">
        <v>94661</v>
      </c>
      <c r="T4" s="9">
        <v>94758</v>
      </c>
      <c r="U4" s="9">
        <v>90204</v>
      </c>
    </row>
    <row r="5" spans="1:21">
      <c r="A5" s="7">
        <v>3</v>
      </c>
      <c r="B5" s="7">
        <v>96372</v>
      </c>
      <c r="C5" s="7">
        <v>96372</v>
      </c>
      <c r="D5" s="7">
        <v>94498</v>
      </c>
      <c r="E5" s="7">
        <v>95389</v>
      </c>
      <c r="F5" s="7">
        <v>97854</v>
      </c>
      <c r="G5" s="7">
        <v>100313</v>
      </c>
      <c r="H5" s="8">
        <v>99516</v>
      </c>
      <c r="I5" s="9">
        <v>99423</v>
      </c>
      <c r="J5" s="9">
        <v>96807</v>
      </c>
      <c r="K5" s="9">
        <v>90153</v>
      </c>
      <c r="L5" s="9">
        <v>88268</v>
      </c>
      <c r="M5" s="9">
        <v>91335</v>
      </c>
      <c r="N5" s="10">
        <v>90119</v>
      </c>
      <c r="O5" s="9">
        <v>93566</v>
      </c>
      <c r="P5" s="9">
        <v>95655</v>
      </c>
      <c r="Q5" s="9">
        <v>94699</v>
      </c>
      <c r="R5" s="9">
        <v>93411</v>
      </c>
      <c r="S5" s="9">
        <v>91877</v>
      </c>
      <c r="T5" s="9">
        <v>94749</v>
      </c>
      <c r="U5" s="9">
        <v>94787</v>
      </c>
    </row>
    <row r="6" spans="1:21">
      <c r="A6" s="7">
        <v>4</v>
      </c>
      <c r="B6" s="7">
        <v>96591</v>
      </c>
      <c r="C6" s="7">
        <v>96591</v>
      </c>
      <c r="D6" s="7">
        <v>96528</v>
      </c>
      <c r="E6" s="7">
        <v>94644</v>
      </c>
      <c r="F6" s="7">
        <v>95530</v>
      </c>
      <c r="G6" s="7">
        <v>98036</v>
      </c>
      <c r="H6" s="8">
        <v>98302</v>
      </c>
      <c r="I6" s="9">
        <v>97391</v>
      </c>
      <c r="J6" s="9">
        <v>99509</v>
      </c>
      <c r="K6" s="9">
        <v>96927</v>
      </c>
      <c r="L6" s="9">
        <v>90395</v>
      </c>
      <c r="M6" s="9">
        <v>88537</v>
      </c>
      <c r="N6" s="10">
        <v>91394</v>
      </c>
      <c r="O6" s="9">
        <v>90295</v>
      </c>
      <c r="P6" s="9">
        <v>92656</v>
      </c>
      <c r="Q6" s="9">
        <v>95803</v>
      </c>
      <c r="R6" s="9">
        <v>94835</v>
      </c>
      <c r="S6" s="9">
        <v>92611</v>
      </c>
      <c r="T6" s="9">
        <v>91919</v>
      </c>
      <c r="U6" s="9">
        <v>94749</v>
      </c>
    </row>
    <row r="7" spans="1:21">
      <c r="A7" s="7">
        <v>5</v>
      </c>
      <c r="B7" s="7">
        <v>98038</v>
      </c>
      <c r="C7" s="7">
        <v>98038</v>
      </c>
      <c r="D7" s="7">
        <v>96706</v>
      </c>
      <c r="E7" s="7">
        <v>96681</v>
      </c>
      <c r="F7" s="7">
        <v>94716</v>
      </c>
      <c r="G7" s="7">
        <v>95539</v>
      </c>
      <c r="H7" s="8">
        <v>100143</v>
      </c>
      <c r="I7" s="9">
        <v>100953</v>
      </c>
      <c r="J7" s="9">
        <v>97519</v>
      </c>
      <c r="K7" s="9">
        <v>99619</v>
      </c>
      <c r="L7" s="9">
        <v>97131</v>
      </c>
      <c r="M7" s="9">
        <v>90632</v>
      </c>
      <c r="N7" s="10">
        <v>88553</v>
      </c>
      <c r="O7" s="9">
        <v>91568</v>
      </c>
      <c r="P7" s="9">
        <v>93909</v>
      </c>
      <c r="Q7" s="9">
        <v>92694</v>
      </c>
      <c r="R7" s="9">
        <v>95918</v>
      </c>
      <c r="S7" s="9">
        <v>94709</v>
      </c>
      <c r="T7" s="9">
        <v>92651</v>
      </c>
      <c r="U7" s="9">
        <v>91907</v>
      </c>
    </row>
    <row r="8" spans="1:21">
      <c r="A8" s="7">
        <v>6</v>
      </c>
      <c r="B8" s="7">
        <v>93837</v>
      </c>
      <c r="C8" s="7">
        <v>93837</v>
      </c>
      <c r="D8" s="7">
        <v>98150</v>
      </c>
      <c r="E8" s="7">
        <v>96843</v>
      </c>
      <c r="F8" s="7">
        <v>96744</v>
      </c>
      <c r="G8" s="7">
        <v>94723</v>
      </c>
      <c r="H8" s="8">
        <v>97778</v>
      </c>
      <c r="I8" s="9">
        <v>97693</v>
      </c>
      <c r="J8" s="9">
        <v>101219</v>
      </c>
      <c r="K8" s="9">
        <v>97618</v>
      </c>
      <c r="L8" s="9">
        <v>99801</v>
      </c>
      <c r="M8" s="9">
        <v>97323</v>
      </c>
      <c r="N8" s="10">
        <v>90705</v>
      </c>
      <c r="O8" s="9">
        <v>88672</v>
      </c>
      <c r="P8" s="9">
        <v>90576</v>
      </c>
      <c r="Q8" s="9">
        <v>93914</v>
      </c>
      <c r="R8" s="9">
        <v>92765</v>
      </c>
      <c r="S8" s="9">
        <v>95809</v>
      </c>
      <c r="T8" s="9">
        <v>94592</v>
      </c>
      <c r="U8" s="9">
        <v>92649</v>
      </c>
    </row>
    <row r="9" spans="1:21">
      <c r="A9" s="7">
        <v>7</v>
      </c>
      <c r="B9" s="7">
        <v>96122</v>
      </c>
      <c r="C9" s="7">
        <v>96122</v>
      </c>
      <c r="D9" s="7">
        <v>93944</v>
      </c>
      <c r="E9" s="7">
        <v>98318</v>
      </c>
      <c r="F9" s="7">
        <v>96910</v>
      </c>
      <c r="G9" s="7">
        <v>96662</v>
      </c>
      <c r="H9" s="8">
        <v>93238</v>
      </c>
      <c r="I9" s="9">
        <v>94168</v>
      </c>
      <c r="J9" s="9">
        <v>97947</v>
      </c>
      <c r="K9" s="9">
        <v>101320</v>
      </c>
      <c r="L9" s="9">
        <v>97877</v>
      </c>
      <c r="M9" s="9">
        <v>100057</v>
      </c>
      <c r="N9" s="10">
        <v>97300</v>
      </c>
      <c r="O9" s="9">
        <v>90758</v>
      </c>
      <c r="P9" s="9">
        <v>91821</v>
      </c>
      <c r="Q9" s="9">
        <v>90594</v>
      </c>
      <c r="R9" s="9">
        <v>93976</v>
      </c>
      <c r="S9" s="9">
        <v>94089</v>
      </c>
      <c r="T9" s="9">
        <v>95766</v>
      </c>
      <c r="U9" s="9">
        <v>94643</v>
      </c>
    </row>
    <row r="10" spans="1:21">
      <c r="A10" s="7">
        <v>8</v>
      </c>
      <c r="B10" s="7">
        <v>98531</v>
      </c>
      <c r="C10" s="7">
        <v>98531</v>
      </c>
      <c r="D10" s="7">
        <v>96203</v>
      </c>
      <c r="E10" s="7">
        <v>94091</v>
      </c>
      <c r="F10" s="7">
        <v>98397</v>
      </c>
      <c r="G10" s="7">
        <v>96914</v>
      </c>
      <c r="H10" s="8">
        <v>95609</v>
      </c>
      <c r="I10" s="9">
        <v>93822</v>
      </c>
      <c r="J10" s="9">
        <v>94398</v>
      </c>
      <c r="K10" s="9">
        <v>98030</v>
      </c>
      <c r="L10" s="9">
        <v>101533</v>
      </c>
      <c r="M10" s="9">
        <v>98131</v>
      </c>
      <c r="N10" s="10">
        <v>100067</v>
      </c>
      <c r="O10" s="9">
        <v>97343</v>
      </c>
      <c r="P10" s="9">
        <v>88971</v>
      </c>
      <c r="Q10" s="9">
        <v>91853</v>
      </c>
      <c r="R10" s="9">
        <v>90644</v>
      </c>
      <c r="S10" s="9">
        <v>93575</v>
      </c>
      <c r="T10" s="9">
        <v>94430</v>
      </c>
      <c r="U10" s="9">
        <v>95832</v>
      </c>
    </row>
    <row r="11" spans="1:21">
      <c r="A11" s="7">
        <v>9</v>
      </c>
      <c r="B11" s="7">
        <v>104398</v>
      </c>
      <c r="C11" s="7">
        <v>104398</v>
      </c>
      <c r="D11" s="7">
        <v>98617</v>
      </c>
      <c r="E11" s="7">
        <v>96335</v>
      </c>
      <c r="F11" s="7">
        <v>94192</v>
      </c>
      <c r="G11" s="7">
        <v>98383</v>
      </c>
      <c r="H11" s="8">
        <v>95578</v>
      </c>
      <c r="I11" s="9">
        <v>96121</v>
      </c>
      <c r="J11" s="9">
        <v>94036</v>
      </c>
      <c r="K11" s="9">
        <v>94491</v>
      </c>
      <c r="L11" s="9">
        <v>98209</v>
      </c>
      <c r="M11" s="9">
        <v>101758</v>
      </c>
      <c r="N11" s="10">
        <v>98077</v>
      </c>
      <c r="O11" s="9">
        <v>100131</v>
      </c>
      <c r="P11" s="9">
        <v>90885</v>
      </c>
      <c r="Q11" s="9">
        <v>88954</v>
      </c>
      <c r="R11" s="9">
        <v>91896</v>
      </c>
      <c r="S11" s="9">
        <v>89389</v>
      </c>
      <c r="T11" s="9">
        <v>93929</v>
      </c>
      <c r="U11" s="9">
        <v>94460</v>
      </c>
    </row>
    <row r="12" spans="1:21">
      <c r="A12" s="11" t="s">
        <v>2</v>
      </c>
      <c r="B12" s="7">
        <v>584136</v>
      </c>
      <c r="C12" s="11">
        <v>584136</v>
      </c>
      <c r="D12" s="11">
        <v>563878</v>
      </c>
      <c r="E12" s="11">
        <v>542990</v>
      </c>
      <c r="F12" s="11">
        <v>524368</v>
      </c>
      <c r="G12" s="11">
        <v>505086</v>
      </c>
      <c r="H12" s="12">
        <v>490068</v>
      </c>
      <c r="I12" s="12">
        <v>486454</v>
      </c>
      <c r="J12" s="13">
        <v>482459</v>
      </c>
      <c r="K12" s="14">
        <v>479536</v>
      </c>
      <c r="L12" s="14">
        <v>480470</v>
      </c>
      <c r="M12" s="14">
        <v>481679</v>
      </c>
      <c r="N12" s="14">
        <v>486424</v>
      </c>
      <c r="O12" s="14">
        <v>488088</v>
      </c>
      <c r="P12" s="14">
        <v>496937</v>
      </c>
      <c r="Q12" s="14">
        <v>489321</v>
      </c>
      <c r="R12" s="14">
        <v>476345</v>
      </c>
      <c r="S12" s="14">
        <v>462281</v>
      </c>
      <c r="T12" s="14">
        <v>455202</v>
      </c>
      <c r="U12" s="14">
        <v>453909</v>
      </c>
    </row>
    <row r="13" spans="1:21">
      <c r="A13" s="7" t="s">
        <v>0</v>
      </c>
      <c r="B13" s="7">
        <v>627223</v>
      </c>
      <c r="C13" s="7">
        <v>627223</v>
      </c>
      <c r="D13" s="7">
        <v>623637</v>
      </c>
      <c r="E13" s="7">
        <v>619849</v>
      </c>
      <c r="F13" s="7">
        <v>611292</v>
      </c>
      <c r="G13" s="7">
        <v>603793</v>
      </c>
      <c r="H13" s="12">
        <v>593534</v>
      </c>
      <c r="I13" s="12">
        <v>588428</v>
      </c>
      <c r="J13" s="13">
        <v>567039</v>
      </c>
      <c r="K13" s="14">
        <v>544715</v>
      </c>
      <c r="L13" s="14">
        <v>522097</v>
      </c>
      <c r="M13" s="14">
        <v>505193</v>
      </c>
      <c r="N13" s="14">
        <v>493069</v>
      </c>
      <c r="O13" s="14">
        <v>489340</v>
      </c>
      <c r="P13" s="14">
        <v>487664</v>
      </c>
      <c r="Q13" s="14">
        <v>487750</v>
      </c>
      <c r="R13" s="14">
        <v>492917</v>
      </c>
      <c r="S13" s="14">
        <v>487900</v>
      </c>
      <c r="T13" s="14">
        <v>492197</v>
      </c>
      <c r="U13" s="14">
        <v>493736</v>
      </c>
    </row>
    <row r="14" spans="1:21">
      <c r="A14" s="7" t="s">
        <v>1</v>
      </c>
      <c r="B14" s="7">
        <v>7895915</v>
      </c>
      <c r="C14" s="7">
        <v>7895915</v>
      </c>
      <c r="D14" s="7">
        <v>7912867</v>
      </c>
      <c r="E14" s="7">
        <v>7916750</v>
      </c>
      <c r="F14" s="7">
        <v>7927075</v>
      </c>
      <c r="G14" s="7">
        <v>7933675</v>
      </c>
      <c r="H14" s="15">
        <v>7896435</v>
      </c>
      <c r="I14" s="15">
        <v>7903207</v>
      </c>
      <c r="J14" s="15">
        <v>7910894</v>
      </c>
      <c r="K14" s="15">
        <v>7906834</v>
      </c>
      <c r="L14" s="15">
        <v>7906288</v>
      </c>
      <c r="M14" s="15">
        <v>7900844</v>
      </c>
      <c r="N14" s="15">
        <v>7881627</v>
      </c>
      <c r="O14" s="15">
        <v>7867115</v>
      </c>
      <c r="P14" s="15">
        <v>7860526</v>
      </c>
      <c r="Q14" s="15">
        <v>7825789</v>
      </c>
      <c r="R14" s="15">
        <v>7785925</v>
      </c>
      <c r="S14" s="15">
        <v>7718789</v>
      </c>
      <c r="T14" s="15">
        <v>7707251</v>
      </c>
      <c r="U14" s="15">
        <v>7677012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population</vt:lpstr>
      <vt:lpstr>population11</vt:lpstr>
      <vt:lpstr>population16</vt:lpstr>
      <vt:lpstr>population2005-2024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Csuma-Kovács Rita</dc:creator>
  <cp:lastModifiedBy>Rita Csuma-Kovács</cp:lastModifiedBy>
  <dcterms:created xsi:type="dcterms:W3CDTF">2015-06-05T18:19:34Z</dcterms:created>
  <dcterms:modified xsi:type="dcterms:W3CDTF">2026-05-29T08:45:45Z</dcterms:modified>
</cp:coreProperties>
</file>