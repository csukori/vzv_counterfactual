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SURITA\PycharmProjects\PythonProject\counterfactual-analysis-vzv\resources\"/>
    </mc:Choice>
  </mc:AlternateContent>
  <xr:revisionPtr revIDLastSave="0" documentId="13_ncr:1_{5CD51DE3-0976-48D8-88AA-529342FD8ED7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compartments" sheetId="1" r:id="rId1"/>
    <sheet name="helper" sheetId="2" r:id="rId2"/>
    <sheet name="Varicell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8" i="1" l="1"/>
  <c r="D68" i="1"/>
  <c r="E68" i="1"/>
  <c r="F68" i="1"/>
  <c r="B6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3" i="1"/>
  <c r="F6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2" i="1"/>
  <c r="D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3" i="1"/>
  <c r="C2" i="1"/>
  <c r="N59" i="2"/>
  <c r="N57" i="2"/>
  <c r="N56" i="2"/>
  <c r="N54" i="2"/>
  <c r="N42" i="2"/>
  <c r="N41" i="2"/>
  <c r="N40" i="2"/>
  <c r="N39" i="2"/>
  <c r="N38" i="2"/>
  <c r="N26" i="2"/>
  <c r="N25" i="2"/>
  <c r="N24" i="2"/>
  <c r="N23" i="2"/>
  <c r="N22" i="2"/>
  <c r="N10" i="2"/>
  <c r="N9" i="2"/>
  <c r="N8" i="2"/>
  <c r="N7" i="2"/>
  <c r="N6" i="2"/>
  <c r="Q2" i="2"/>
  <c r="F2" i="1" s="1"/>
  <c r="L68" i="2"/>
  <c r="E67" i="2"/>
  <c r="F67" i="2"/>
  <c r="G67" i="2"/>
  <c r="H67" i="2"/>
  <c r="I67" i="2"/>
  <c r="J67" i="2"/>
  <c r="D67" i="2"/>
  <c r="E62" i="2"/>
  <c r="F62" i="2"/>
  <c r="G62" i="2"/>
  <c r="H62" i="2"/>
  <c r="I62" i="2"/>
  <c r="J62" i="2"/>
  <c r="E63" i="2"/>
  <c r="F63" i="2"/>
  <c r="G63" i="2"/>
  <c r="H63" i="2"/>
  <c r="I63" i="2"/>
  <c r="J63" i="2"/>
  <c r="E64" i="2"/>
  <c r="F64" i="2"/>
  <c r="G64" i="2"/>
  <c r="H64" i="2"/>
  <c r="I64" i="2"/>
  <c r="J64" i="2"/>
  <c r="E65" i="2"/>
  <c r="F65" i="2"/>
  <c r="G65" i="2"/>
  <c r="H65" i="2"/>
  <c r="I65" i="2"/>
  <c r="J65" i="2"/>
  <c r="E66" i="2"/>
  <c r="F66" i="2"/>
  <c r="G66" i="2"/>
  <c r="H66" i="2"/>
  <c r="I66" i="2"/>
  <c r="J66" i="2"/>
  <c r="D63" i="2"/>
  <c r="D64" i="2"/>
  <c r="D65" i="2"/>
  <c r="D66" i="2"/>
  <c r="D62" i="2"/>
  <c r="E52" i="2"/>
  <c r="F52" i="2"/>
  <c r="G52" i="2"/>
  <c r="H52" i="2"/>
  <c r="I52" i="2"/>
  <c r="J52" i="2"/>
  <c r="K52" i="2"/>
  <c r="M52" i="2" s="1"/>
  <c r="N52" i="2" s="1"/>
  <c r="E53" i="2"/>
  <c r="F53" i="2"/>
  <c r="G53" i="2"/>
  <c r="H53" i="2"/>
  <c r="I53" i="2"/>
  <c r="J53" i="2"/>
  <c r="K53" i="2"/>
  <c r="M53" i="2" s="1"/>
  <c r="N53" i="2" s="1"/>
  <c r="E54" i="2"/>
  <c r="F54" i="2"/>
  <c r="G54" i="2"/>
  <c r="H54" i="2"/>
  <c r="I54" i="2"/>
  <c r="J54" i="2"/>
  <c r="K54" i="2"/>
  <c r="M54" i="2" s="1"/>
  <c r="E55" i="2"/>
  <c r="F55" i="2"/>
  <c r="G55" i="2"/>
  <c r="H55" i="2"/>
  <c r="I55" i="2"/>
  <c r="J55" i="2"/>
  <c r="K55" i="2"/>
  <c r="M55" i="2" s="1"/>
  <c r="N55" i="2" s="1"/>
  <c r="E56" i="2"/>
  <c r="F56" i="2"/>
  <c r="G56" i="2"/>
  <c r="H56" i="2"/>
  <c r="I56" i="2"/>
  <c r="J56" i="2"/>
  <c r="K56" i="2"/>
  <c r="M56" i="2" s="1"/>
  <c r="E57" i="2"/>
  <c r="F57" i="2"/>
  <c r="G57" i="2"/>
  <c r="H57" i="2"/>
  <c r="I57" i="2"/>
  <c r="J57" i="2"/>
  <c r="K57" i="2"/>
  <c r="M57" i="2" s="1"/>
  <c r="E58" i="2"/>
  <c r="F58" i="2"/>
  <c r="G58" i="2"/>
  <c r="H58" i="2"/>
  <c r="I58" i="2"/>
  <c r="J58" i="2"/>
  <c r="K58" i="2"/>
  <c r="M58" i="2" s="1"/>
  <c r="N58" i="2" s="1"/>
  <c r="E59" i="2"/>
  <c r="F59" i="2"/>
  <c r="G59" i="2"/>
  <c r="H59" i="2"/>
  <c r="I59" i="2"/>
  <c r="J59" i="2"/>
  <c r="K59" i="2"/>
  <c r="M59" i="2" s="1"/>
  <c r="E60" i="2"/>
  <c r="F60" i="2"/>
  <c r="G60" i="2"/>
  <c r="H60" i="2"/>
  <c r="I60" i="2"/>
  <c r="J60" i="2"/>
  <c r="K60" i="2"/>
  <c r="M60" i="2" s="1"/>
  <c r="N60" i="2" s="1"/>
  <c r="E61" i="2"/>
  <c r="F61" i="2"/>
  <c r="G61" i="2"/>
  <c r="H61" i="2"/>
  <c r="I61" i="2"/>
  <c r="J61" i="2"/>
  <c r="K61" i="2"/>
  <c r="M61" i="2" s="1"/>
  <c r="N61" i="2" s="1"/>
  <c r="D53" i="2"/>
  <c r="D54" i="2"/>
  <c r="D55" i="2"/>
  <c r="D56" i="2"/>
  <c r="D57" i="2"/>
  <c r="D58" i="2"/>
  <c r="D59" i="2"/>
  <c r="D60" i="2"/>
  <c r="D61" i="2"/>
  <c r="D52" i="2"/>
  <c r="E42" i="2"/>
  <c r="F42" i="2"/>
  <c r="G42" i="2"/>
  <c r="H42" i="2"/>
  <c r="I42" i="2"/>
  <c r="J42" i="2"/>
  <c r="E43" i="2"/>
  <c r="F43" i="2"/>
  <c r="G43" i="2"/>
  <c r="H43" i="2"/>
  <c r="I43" i="2"/>
  <c r="J43" i="2"/>
  <c r="E44" i="2"/>
  <c r="F44" i="2"/>
  <c r="G44" i="2"/>
  <c r="H44" i="2"/>
  <c r="I44" i="2"/>
  <c r="J44" i="2"/>
  <c r="E45" i="2"/>
  <c r="F45" i="2"/>
  <c r="G45" i="2"/>
  <c r="H45" i="2"/>
  <c r="I45" i="2"/>
  <c r="J45" i="2"/>
  <c r="E46" i="2"/>
  <c r="F46" i="2"/>
  <c r="G46" i="2"/>
  <c r="H46" i="2"/>
  <c r="I46" i="2"/>
  <c r="J46" i="2"/>
  <c r="E47" i="2"/>
  <c r="F47" i="2"/>
  <c r="G47" i="2"/>
  <c r="H47" i="2"/>
  <c r="I47" i="2"/>
  <c r="J47" i="2"/>
  <c r="E48" i="2"/>
  <c r="F48" i="2"/>
  <c r="G48" i="2"/>
  <c r="H48" i="2"/>
  <c r="I48" i="2"/>
  <c r="J48" i="2"/>
  <c r="E49" i="2"/>
  <c r="F49" i="2"/>
  <c r="G49" i="2"/>
  <c r="H49" i="2"/>
  <c r="I49" i="2"/>
  <c r="J49" i="2"/>
  <c r="E50" i="2"/>
  <c r="F50" i="2"/>
  <c r="G50" i="2"/>
  <c r="H50" i="2"/>
  <c r="I50" i="2"/>
  <c r="J50" i="2"/>
  <c r="E51" i="2"/>
  <c r="F51" i="2"/>
  <c r="G51" i="2"/>
  <c r="H51" i="2"/>
  <c r="I51" i="2"/>
  <c r="J51" i="2"/>
  <c r="D43" i="2"/>
  <c r="D44" i="2"/>
  <c r="D45" i="2"/>
  <c r="D46" i="2"/>
  <c r="D47" i="2"/>
  <c r="D48" i="2"/>
  <c r="D49" i="2"/>
  <c r="D50" i="2"/>
  <c r="D51" i="2"/>
  <c r="D42" i="2"/>
  <c r="E32" i="2"/>
  <c r="F32" i="2"/>
  <c r="G32" i="2"/>
  <c r="H32" i="2"/>
  <c r="I32" i="2"/>
  <c r="J32" i="2"/>
  <c r="E33" i="2"/>
  <c r="F33" i="2"/>
  <c r="G33" i="2"/>
  <c r="H33" i="2"/>
  <c r="I33" i="2"/>
  <c r="J33" i="2"/>
  <c r="E34" i="2"/>
  <c r="F34" i="2"/>
  <c r="G34" i="2"/>
  <c r="H34" i="2"/>
  <c r="I34" i="2"/>
  <c r="J34" i="2"/>
  <c r="E35" i="2"/>
  <c r="F35" i="2"/>
  <c r="G35" i="2"/>
  <c r="H35" i="2"/>
  <c r="I35" i="2"/>
  <c r="J35" i="2"/>
  <c r="E36" i="2"/>
  <c r="F36" i="2"/>
  <c r="G36" i="2"/>
  <c r="H36" i="2"/>
  <c r="I36" i="2"/>
  <c r="J36" i="2"/>
  <c r="E37" i="2"/>
  <c r="F37" i="2"/>
  <c r="G37" i="2"/>
  <c r="H37" i="2"/>
  <c r="I37" i="2"/>
  <c r="J37" i="2"/>
  <c r="E38" i="2"/>
  <c r="F38" i="2"/>
  <c r="G38" i="2"/>
  <c r="H38" i="2"/>
  <c r="I38" i="2"/>
  <c r="J38" i="2"/>
  <c r="E39" i="2"/>
  <c r="F39" i="2"/>
  <c r="G39" i="2"/>
  <c r="H39" i="2"/>
  <c r="I39" i="2"/>
  <c r="J39" i="2"/>
  <c r="E40" i="2"/>
  <c r="F40" i="2"/>
  <c r="G40" i="2"/>
  <c r="H40" i="2"/>
  <c r="I40" i="2"/>
  <c r="J40" i="2"/>
  <c r="E41" i="2"/>
  <c r="F41" i="2"/>
  <c r="G41" i="2"/>
  <c r="H41" i="2"/>
  <c r="I41" i="2"/>
  <c r="J41" i="2"/>
  <c r="D33" i="2"/>
  <c r="D34" i="2"/>
  <c r="D35" i="2"/>
  <c r="D36" i="2"/>
  <c r="D37" i="2"/>
  <c r="D38" i="2"/>
  <c r="D39" i="2"/>
  <c r="D40" i="2"/>
  <c r="D41" i="2"/>
  <c r="D32" i="2"/>
  <c r="E22" i="2"/>
  <c r="F22" i="2"/>
  <c r="G22" i="2"/>
  <c r="H22" i="2"/>
  <c r="I22" i="2"/>
  <c r="J22" i="2"/>
  <c r="E23" i="2"/>
  <c r="F23" i="2"/>
  <c r="G23" i="2"/>
  <c r="H23" i="2"/>
  <c r="I23" i="2"/>
  <c r="J23" i="2"/>
  <c r="E24" i="2"/>
  <c r="F24" i="2"/>
  <c r="G24" i="2"/>
  <c r="H24" i="2"/>
  <c r="I24" i="2"/>
  <c r="J24" i="2"/>
  <c r="E25" i="2"/>
  <c r="F25" i="2"/>
  <c r="G25" i="2"/>
  <c r="H25" i="2"/>
  <c r="I25" i="2"/>
  <c r="J25" i="2"/>
  <c r="E26" i="2"/>
  <c r="F26" i="2"/>
  <c r="G26" i="2"/>
  <c r="H26" i="2"/>
  <c r="I26" i="2"/>
  <c r="J26" i="2"/>
  <c r="E27" i="2"/>
  <c r="F27" i="2"/>
  <c r="G27" i="2"/>
  <c r="H27" i="2"/>
  <c r="I27" i="2"/>
  <c r="J27" i="2"/>
  <c r="E28" i="2"/>
  <c r="F28" i="2"/>
  <c r="G28" i="2"/>
  <c r="H28" i="2"/>
  <c r="I28" i="2"/>
  <c r="J28" i="2"/>
  <c r="E29" i="2"/>
  <c r="F29" i="2"/>
  <c r="G29" i="2"/>
  <c r="H29" i="2"/>
  <c r="I29" i="2"/>
  <c r="J29" i="2"/>
  <c r="E30" i="2"/>
  <c r="F30" i="2"/>
  <c r="G30" i="2"/>
  <c r="H30" i="2"/>
  <c r="I30" i="2"/>
  <c r="J30" i="2"/>
  <c r="E31" i="2"/>
  <c r="F31" i="2"/>
  <c r="G31" i="2"/>
  <c r="H31" i="2"/>
  <c r="I31" i="2"/>
  <c r="J31" i="2"/>
  <c r="D23" i="2"/>
  <c r="D24" i="2"/>
  <c r="D25" i="2"/>
  <c r="D26" i="2"/>
  <c r="D27" i="2"/>
  <c r="D28" i="2"/>
  <c r="D29" i="2"/>
  <c r="D30" i="2"/>
  <c r="D31" i="2"/>
  <c r="D22" i="2"/>
  <c r="E17" i="2"/>
  <c r="F17" i="2"/>
  <c r="G17" i="2"/>
  <c r="H17" i="2"/>
  <c r="I17" i="2"/>
  <c r="J17" i="2"/>
  <c r="E18" i="2"/>
  <c r="F18" i="2"/>
  <c r="G18" i="2"/>
  <c r="H18" i="2"/>
  <c r="I18" i="2"/>
  <c r="J18" i="2"/>
  <c r="E19" i="2"/>
  <c r="F19" i="2"/>
  <c r="G19" i="2"/>
  <c r="H19" i="2"/>
  <c r="I19" i="2"/>
  <c r="J19" i="2"/>
  <c r="E20" i="2"/>
  <c r="F20" i="2"/>
  <c r="G20" i="2"/>
  <c r="H20" i="2"/>
  <c r="I20" i="2"/>
  <c r="J20" i="2"/>
  <c r="E21" i="2"/>
  <c r="F21" i="2"/>
  <c r="G21" i="2"/>
  <c r="H21" i="2"/>
  <c r="I21" i="2"/>
  <c r="J21" i="2"/>
  <c r="D18" i="2"/>
  <c r="D19" i="2"/>
  <c r="D20" i="2"/>
  <c r="D21" i="2"/>
  <c r="D17" i="2"/>
  <c r="E2" i="2"/>
  <c r="F2" i="2"/>
  <c r="G2" i="2"/>
  <c r="H2" i="2"/>
  <c r="I2" i="2"/>
  <c r="J2" i="2"/>
  <c r="E3" i="2"/>
  <c r="F3" i="2"/>
  <c r="G3" i="2"/>
  <c r="H3" i="2"/>
  <c r="I3" i="2"/>
  <c r="J3" i="2"/>
  <c r="E4" i="2"/>
  <c r="F4" i="2"/>
  <c r="G4" i="2"/>
  <c r="H4" i="2"/>
  <c r="I4" i="2"/>
  <c r="J4" i="2"/>
  <c r="E5" i="2"/>
  <c r="F5" i="2"/>
  <c r="G5" i="2"/>
  <c r="H5" i="2"/>
  <c r="I5" i="2"/>
  <c r="J5" i="2"/>
  <c r="E6" i="2"/>
  <c r="F6" i="2"/>
  <c r="G6" i="2"/>
  <c r="H6" i="2"/>
  <c r="I6" i="2"/>
  <c r="J6" i="2"/>
  <c r="E7" i="2"/>
  <c r="F7" i="2"/>
  <c r="G7" i="2"/>
  <c r="H7" i="2"/>
  <c r="I7" i="2"/>
  <c r="J7" i="2"/>
  <c r="E8" i="2"/>
  <c r="F8" i="2"/>
  <c r="G8" i="2"/>
  <c r="H8" i="2"/>
  <c r="I8" i="2"/>
  <c r="J8" i="2"/>
  <c r="E9" i="2"/>
  <c r="F9" i="2"/>
  <c r="G9" i="2"/>
  <c r="H9" i="2"/>
  <c r="I9" i="2"/>
  <c r="J9" i="2"/>
  <c r="E10" i="2"/>
  <c r="F10" i="2"/>
  <c r="G10" i="2"/>
  <c r="H10" i="2"/>
  <c r="I10" i="2"/>
  <c r="J10" i="2"/>
  <c r="E11" i="2"/>
  <c r="F11" i="2"/>
  <c r="G11" i="2"/>
  <c r="H11" i="2"/>
  <c r="I11" i="2"/>
  <c r="J11" i="2"/>
  <c r="E12" i="2"/>
  <c r="F12" i="2"/>
  <c r="G12" i="2"/>
  <c r="H12" i="2"/>
  <c r="I12" i="2"/>
  <c r="J12" i="2"/>
  <c r="E13" i="2"/>
  <c r="F13" i="2"/>
  <c r="G13" i="2"/>
  <c r="H13" i="2"/>
  <c r="I13" i="2"/>
  <c r="J13" i="2"/>
  <c r="E14" i="2"/>
  <c r="F14" i="2"/>
  <c r="G14" i="2"/>
  <c r="H14" i="2"/>
  <c r="I14" i="2"/>
  <c r="J14" i="2"/>
  <c r="E15" i="2"/>
  <c r="F15" i="2"/>
  <c r="G15" i="2"/>
  <c r="H15" i="2"/>
  <c r="I15" i="2"/>
  <c r="J15" i="2"/>
  <c r="E16" i="2"/>
  <c r="F16" i="2"/>
  <c r="G16" i="2"/>
  <c r="H16" i="2"/>
  <c r="I16" i="2"/>
  <c r="J1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2" i="2"/>
  <c r="I28" i="3"/>
  <c r="J28" i="3" s="1"/>
  <c r="J27" i="3"/>
  <c r="I27" i="3"/>
  <c r="J26" i="3"/>
  <c r="I26" i="3"/>
  <c r="I25" i="3"/>
  <c r="J25" i="3" s="1"/>
  <c r="I24" i="3"/>
  <c r="J24" i="3" s="1"/>
  <c r="I23" i="3"/>
  <c r="J23" i="3" s="1"/>
  <c r="I22" i="3"/>
  <c r="J22" i="3" s="1"/>
  <c r="I21" i="3"/>
  <c r="J21" i="3" s="1"/>
  <c r="I20" i="3"/>
  <c r="J20" i="3" s="1"/>
  <c r="J19" i="3"/>
  <c r="I19" i="3"/>
  <c r="J18" i="3"/>
  <c r="I18" i="3"/>
  <c r="I17" i="3"/>
  <c r="J17" i="3" s="1"/>
  <c r="I16" i="3"/>
  <c r="J16" i="3" s="1"/>
  <c r="J15" i="3"/>
  <c r="I15" i="3"/>
  <c r="I14" i="3"/>
  <c r="J14" i="3" s="1"/>
  <c r="I13" i="3"/>
  <c r="J13" i="3" s="1"/>
  <c r="I12" i="3"/>
  <c r="J12" i="3" s="1"/>
  <c r="J11" i="3"/>
  <c r="I11" i="3"/>
  <c r="J10" i="3"/>
  <c r="I10" i="3"/>
  <c r="I9" i="3"/>
  <c r="J9" i="3" s="1"/>
  <c r="I8" i="3"/>
  <c r="J8" i="3" s="1"/>
  <c r="J7" i="3"/>
  <c r="I7" i="3"/>
  <c r="I6" i="3"/>
  <c r="J6" i="3" s="1"/>
  <c r="I5" i="3"/>
  <c r="J5" i="3" s="1"/>
  <c r="I4" i="3"/>
  <c r="J4" i="3" s="1"/>
  <c r="J3" i="3"/>
  <c r="I3" i="3"/>
  <c r="J2" i="3"/>
  <c r="I2" i="3"/>
  <c r="M3" i="2"/>
  <c r="N3" i="2" s="1"/>
  <c r="M4" i="2"/>
  <c r="N4" i="2" s="1"/>
  <c r="M5" i="2"/>
  <c r="N5" i="2" s="1"/>
  <c r="M6" i="2"/>
  <c r="M7" i="2"/>
  <c r="M8" i="2"/>
  <c r="M9" i="2"/>
  <c r="M10" i="2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M23" i="2"/>
  <c r="M24" i="2"/>
  <c r="M25" i="2"/>
  <c r="M26" i="2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M39" i="2"/>
  <c r="M40" i="2"/>
  <c r="M41" i="2"/>
  <c r="M42" i="2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62" i="2"/>
  <c r="N62" i="2" s="1"/>
  <c r="M63" i="2"/>
  <c r="N63" i="2" s="1"/>
  <c r="M64" i="2"/>
  <c r="N64" i="2" s="1"/>
  <c r="M65" i="2"/>
  <c r="N65" i="2" s="1"/>
  <c r="M66" i="2"/>
  <c r="N66" i="2" s="1"/>
  <c r="M67" i="2"/>
  <c r="N67" i="2" s="1"/>
  <c r="M2" i="2"/>
  <c r="P2" i="2" s="1"/>
  <c r="N2" i="2" l="1"/>
  <c r="O2" i="2"/>
  <c r="Q3" i="2" s="1"/>
  <c r="F3" i="1" s="1"/>
  <c r="I68" i="2"/>
  <c r="J68" i="2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D68" i="2"/>
  <c r="H68" i="2"/>
  <c r="G68" i="2"/>
  <c r="F68" i="2"/>
  <c r="K68" i="2"/>
  <c r="E68" i="2"/>
  <c r="M68" i="2"/>
  <c r="O3" i="2" l="1"/>
  <c r="O4" i="2" l="1"/>
  <c r="Q4" i="2"/>
  <c r="F4" i="1" s="1"/>
  <c r="O5" i="2" l="1"/>
  <c r="Q5" i="2"/>
  <c r="F5" i="1" s="1"/>
  <c r="O6" i="2" l="1"/>
  <c r="Q6" i="2"/>
  <c r="F6" i="1" s="1"/>
  <c r="O7" i="2" l="1"/>
  <c r="Q7" i="2"/>
  <c r="F7" i="1" s="1"/>
  <c r="O8" i="2" l="1"/>
  <c r="Q8" i="2"/>
  <c r="F8" i="1" s="1"/>
  <c r="O9" i="2" l="1"/>
  <c r="Q9" i="2"/>
  <c r="F9" i="1" s="1"/>
  <c r="O10" i="2" l="1"/>
  <c r="Q10" i="2"/>
  <c r="F10" i="1" s="1"/>
  <c r="O11" i="2" l="1"/>
  <c r="Q11" i="2"/>
  <c r="F11" i="1" s="1"/>
  <c r="O12" i="2" l="1"/>
  <c r="Q12" i="2"/>
  <c r="F12" i="1" s="1"/>
  <c r="O13" i="2" l="1"/>
  <c r="Q13" i="2"/>
  <c r="F13" i="1" s="1"/>
  <c r="O14" i="2" l="1"/>
  <c r="Q14" i="2"/>
  <c r="F14" i="1" s="1"/>
  <c r="O15" i="2" l="1"/>
  <c r="Q15" i="2"/>
  <c r="F15" i="1" s="1"/>
  <c r="O16" i="2" l="1"/>
  <c r="Q16" i="2"/>
  <c r="F16" i="1" s="1"/>
  <c r="O17" i="2" l="1"/>
  <c r="Q17" i="2"/>
  <c r="F17" i="1" s="1"/>
  <c r="O18" i="2" l="1"/>
  <c r="Q18" i="2"/>
  <c r="F18" i="1" s="1"/>
  <c r="O19" i="2" l="1"/>
  <c r="Q19" i="2"/>
  <c r="F19" i="1" s="1"/>
  <c r="O20" i="2" l="1"/>
  <c r="Q20" i="2"/>
  <c r="F20" i="1" s="1"/>
  <c r="O21" i="2" l="1"/>
  <c r="Q21" i="2"/>
  <c r="F21" i="1" s="1"/>
  <c r="O22" i="2" l="1"/>
  <c r="Q22" i="2"/>
  <c r="F22" i="1" s="1"/>
  <c r="O23" i="2" l="1"/>
  <c r="Q23" i="2"/>
  <c r="F23" i="1" s="1"/>
  <c r="O24" i="2" l="1"/>
  <c r="Q24" i="2"/>
  <c r="F24" i="1" s="1"/>
  <c r="O25" i="2" l="1"/>
  <c r="Q25" i="2"/>
  <c r="F25" i="1" s="1"/>
  <c r="O26" i="2" l="1"/>
  <c r="Q26" i="2"/>
  <c r="F26" i="1" s="1"/>
  <c r="O27" i="2" l="1"/>
  <c r="Q27" i="2"/>
  <c r="F27" i="1" s="1"/>
  <c r="O28" i="2" l="1"/>
  <c r="Q28" i="2"/>
  <c r="F28" i="1" s="1"/>
  <c r="O29" i="2" l="1"/>
  <c r="Q29" i="2"/>
  <c r="F29" i="1" s="1"/>
  <c r="O30" i="2" l="1"/>
  <c r="Q30" i="2"/>
  <c r="F30" i="1" s="1"/>
  <c r="O31" i="2" l="1"/>
  <c r="Q31" i="2"/>
  <c r="F31" i="1" s="1"/>
  <c r="O32" i="2" l="1"/>
  <c r="Q32" i="2"/>
  <c r="F32" i="1" s="1"/>
  <c r="O33" i="2" l="1"/>
  <c r="Q33" i="2"/>
  <c r="F33" i="1" s="1"/>
  <c r="O34" i="2" l="1"/>
  <c r="Q34" i="2"/>
  <c r="F34" i="1" s="1"/>
  <c r="O35" i="2" l="1"/>
  <c r="Q35" i="2"/>
  <c r="F35" i="1" s="1"/>
  <c r="O36" i="2" l="1"/>
  <c r="Q36" i="2"/>
  <c r="F36" i="1" s="1"/>
  <c r="O37" i="2" l="1"/>
  <c r="Q37" i="2"/>
  <c r="F37" i="1" s="1"/>
  <c r="O38" i="2" l="1"/>
  <c r="Q38" i="2"/>
  <c r="F38" i="1" s="1"/>
  <c r="O39" i="2" l="1"/>
  <c r="Q39" i="2"/>
  <c r="F39" i="1" s="1"/>
  <c r="O40" i="2" l="1"/>
  <c r="Q40" i="2"/>
  <c r="F40" i="1" s="1"/>
  <c r="O41" i="2" l="1"/>
  <c r="Q41" i="2"/>
  <c r="F41" i="1" s="1"/>
  <c r="O42" i="2" l="1"/>
  <c r="Q42" i="2"/>
  <c r="F42" i="1" s="1"/>
  <c r="O43" i="2" l="1"/>
  <c r="Q43" i="2"/>
  <c r="F43" i="1" s="1"/>
  <c r="O44" i="2" l="1"/>
  <c r="Q44" i="2"/>
  <c r="F44" i="1" s="1"/>
  <c r="O45" i="2" l="1"/>
  <c r="Q45" i="2"/>
  <c r="F45" i="1" s="1"/>
  <c r="O46" i="2" l="1"/>
  <c r="Q46" i="2"/>
  <c r="F46" i="1" s="1"/>
  <c r="O47" i="2" l="1"/>
  <c r="Q47" i="2"/>
  <c r="F47" i="1" s="1"/>
  <c r="O48" i="2" l="1"/>
  <c r="Q48" i="2"/>
  <c r="F48" i="1" s="1"/>
  <c r="O49" i="2" l="1"/>
  <c r="Q49" i="2"/>
  <c r="F49" i="1" s="1"/>
  <c r="O50" i="2" l="1"/>
  <c r="Q50" i="2"/>
  <c r="F50" i="1" s="1"/>
  <c r="O51" i="2" l="1"/>
  <c r="Q51" i="2"/>
  <c r="F51" i="1" s="1"/>
  <c r="O52" i="2" l="1"/>
  <c r="Q52" i="2"/>
  <c r="F52" i="1" s="1"/>
  <c r="O53" i="2" l="1"/>
  <c r="Q53" i="2"/>
  <c r="F53" i="1" s="1"/>
  <c r="O54" i="2" l="1"/>
  <c r="Q54" i="2"/>
  <c r="F54" i="1" s="1"/>
  <c r="O55" i="2" l="1"/>
  <c r="Q55" i="2"/>
  <c r="F55" i="1" s="1"/>
  <c r="O56" i="2" l="1"/>
  <c r="Q56" i="2"/>
  <c r="F56" i="1" s="1"/>
  <c r="O57" i="2" l="1"/>
  <c r="Q57" i="2"/>
  <c r="F57" i="1" s="1"/>
  <c r="O58" i="2" l="1"/>
  <c r="Q58" i="2"/>
  <c r="F58" i="1" s="1"/>
  <c r="O59" i="2" l="1"/>
  <c r="Q59" i="2"/>
  <c r="F59" i="1" s="1"/>
  <c r="O60" i="2" l="1"/>
  <c r="Q60" i="2"/>
  <c r="F60" i="1" s="1"/>
  <c r="O61" i="2" l="1"/>
  <c r="Q61" i="2"/>
  <c r="F61" i="1" s="1"/>
  <c r="O62" i="2" l="1"/>
  <c r="Q62" i="2"/>
  <c r="F62" i="1" s="1"/>
  <c r="O63" i="2" l="1"/>
  <c r="Q63" i="2"/>
  <c r="F63" i="1" s="1"/>
  <c r="O64" i="2" l="1"/>
  <c r="Q64" i="2"/>
  <c r="F64" i="1" s="1"/>
  <c r="O65" i="2" l="1"/>
  <c r="Q65" i="2"/>
  <c r="F65" i="1" s="1"/>
  <c r="O66" i="2" l="1"/>
  <c r="Q66" i="2"/>
  <c r="F66" i="1" s="1"/>
  <c r="O67" i="2" l="1"/>
  <c r="Q67" i="2"/>
</calcChain>
</file>

<file path=xl/sharedStrings.xml><?xml version="1.0" encoding="utf-8"?>
<sst xmlns="http://schemas.openxmlformats.org/spreadsheetml/2006/main" count="36" uniqueCount="31">
  <si>
    <t>65+</t>
  </si>
  <si>
    <t>Összesen</t>
  </si>
  <si>
    <t>Ages</t>
  </si>
  <si>
    <t>Varicella</t>
  </si>
  <si>
    <t>Átlag</t>
  </si>
  <si>
    <t>Korrigáló tényező</t>
  </si>
  <si>
    <t>Mean</t>
  </si>
  <si>
    <t>Korr. Tényező (binom)</t>
  </si>
  <si>
    <t>Korrigált átlag</t>
  </si>
  <si>
    <t>1-2</t>
  </si>
  <si>
    <t>3-5</t>
  </si>
  <si>
    <t>6-9</t>
  </si>
  <si>
    <t>10-14</t>
  </si>
  <si>
    <t>15-19</t>
  </si>
  <si>
    <t>20-29</t>
  </si>
  <si>
    <t>30-39</t>
  </si>
  <si>
    <t>40-49</t>
  </si>
  <si>
    <t>50-59</t>
  </si>
  <si>
    <t>60-</t>
  </si>
  <si>
    <t>Varicella, cumulative</t>
  </si>
  <si>
    <t>Hány % (korr) volt már beteg</t>
  </si>
  <si>
    <t>age group %</t>
  </si>
  <si>
    <t>cumulative %</t>
  </si>
  <si>
    <t>Population(2011)</t>
  </si>
  <si>
    <t>Varicella:</t>
  </si>
  <si>
    <t>S0</t>
  </si>
  <si>
    <t>Population (2001)</t>
  </si>
  <si>
    <t>E0</t>
  </si>
  <si>
    <t>I0</t>
  </si>
  <si>
    <t>R0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</si>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</sst>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,##0;[Red]#,##0"/>
    <numFmt numFmtId="170" formatCode="#,##0;;\-;@"/>
  </numFmts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name val="Arial"/>
      <family val="2"/>
      <charset val="238"/>
    </font>
    <font>
      <sz val="10"/>
      <name val="Switzerland"/>
      <charset val="238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sz val="1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3" fillId="0" borderId="0" applyNumberFormat="0" applyFont="0" applyFill="0" applyBorder="0" applyAlignment="0" applyProtection="0">
      <alignment vertical="top"/>
    </xf>
    <xf numFmtId="0" fontId="5" fillId="0" borderId="0"/>
    <xf numFmtId="0" fontId="3" fillId="0" borderId="0" applyNumberFormat="0" applyFont="0" applyFill="0" applyBorder="0" applyAlignment="0" applyProtection="0">
      <alignment vertical="top"/>
    </xf>
  </cellStyleXfs>
  <cellXfs count="3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3" fontId="0" fillId="0" borderId="0" xfId="0" applyNumberFormat="1"/>
    <xf numFmtId="0" fontId="4" fillId="0" borderId="1" xfId="3" applyNumberFormat="1" applyFont="1" applyFill="1" applyBorder="1" applyAlignment="1" applyProtection="1">
      <alignment horizontal="center" vertical="center"/>
    </xf>
    <xf numFmtId="0" fontId="4" fillId="0" borderId="1" xfId="3" applyNumberFormat="1" applyFont="1" applyFill="1" applyBorder="1" applyAlignment="1" applyProtection="1">
      <alignment horizontal="center" wrapText="1"/>
    </xf>
    <xf numFmtId="0" fontId="2" fillId="0" borderId="1" xfId="4" applyFont="1" applyBorder="1" applyAlignment="1">
      <alignment horizontal="center" wrapText="1"/>
    </xf>
    <xf numFmtId="0" fontId="3" fillId="0" borderId="2" xfId="5" applyNumberFormat="1" applyFont="1" applyFill="1" applyBorder="1" applyAlignment="1" applyProtection="1">
      <alignment horizontal="center"/>
    </xf>
    <xf numFmtId="169" fontId="6" fillId="0" borderId="3" xfId="5" applyNumberFormat="1" applyFont="1" applyFill="1" applyBorder="1" applyAlignment="1" applyProtection="1">
      <alignment horizontal="right" indent="1"/>
    </xf>
    <xf numFmtId="169" fontId="6" fillId="0" borderId="2" xfId="5" applyNumberFormat="1" applyFont="1" applyFill="1" applyBorder="1" applyAlignment="1" applyProtection="1">
      <alignment horizontal="right" indent="1"/>
    </xf>
    <xf numFmtId="3" fontId="6" fillId="0" borderId="2" xfId="5" applyNumberFormat="1" applyFont="1" applyFill="1" applyBorder="1" applyAlignment="1" applyProtection="1">
      <alignment horizontal="right" indent="1"/>
    </xf>
    <xf numFmtId="170" fontId="3" fillId="0" borderId="2" xfId="0" applyNumberFormat="1" applyFont="1" applyBorder="1" applyAlignment="1">
      <alignment horizontal="right" indent="1"/>
    </xf>
    <xf numFmtId="170" fontId="3" fillId="0" borderId="3" xfId="0" applyNumberFormat="1" applyFont="1" applyBorder="1" applyAlignment="1">
      <alignment horizontal="right" indent="1"/>
    </xf>
    <xf numFmtId="169" fontId="0" fillId="0" borderId="0" xfId="0" applyNumberFormat="1"/>
    <xf numFmtId="0" fontId="3" fillId="0" borderId="3" xfId="5" applyNumberFormat="1" applyFont="1" applyFill="1" applyBorder="1" applyAlignment="1" applyProtection="1">
      <alignment horizontal="center"/>
    </xf>
    <xf numFmtId="3" fontId="6" fillId="0" borderId="3" xfId="5" applyNumberFormat="1" applyFont="1" applyFill="1" applyBorder="1" applyAlignment="1" applyProtection="1">
      <alignment horizontal="right" indent="1"/>
    </xf>
    <xf numFmtId="0" fontId="3" fillId="0" borderId="4" xfId="5" applyNumberFormat="1" applyFont="1" applyFill="1" applyBorder="1" applyAlignment="1" applyProtection="1">
      <alignment horizontal="center"/>
    </xf>
    <xf numFmtId="169" fontId="6" fillId="0" borderId="4" xfId="5" applyNumberFormat="1" applyFont="1" applyFill="1" applyBorder="1" applyAlignment="1" applyProtection="1">
      <alignment horizontal="right" indent="1"/>
    </xf>
    <xf numFmtId="169" fontId="6" fillId="0" borderId="5" xfId="5" applyNumberFormat="1" applyFont="1" applyFill="1" applyBorder="1" applyAlignment="1" applyProtection="1">
      <alignment horizontal="right" indent="1"/>
    </xf>
    <xf numFmtId="3" fontId="6" fillId="0" borderId="5" xfId="5" applyNumberFormat="1" applyFont="1" applyFill="1" applyBorder="1" applyAlignment="1" applyProtection="1">
      <alignment horizontal="right" indent="1"/>
    </xf>
    <xf numFmtId="170" fontId="3" fillId="0" borderId="4" xfId="0" applyNumberFormat="1" applyFont="1" applyBorder="1" applyAlignment="1">
      <alignment horizontal="right" indent="1"/>
    </xf>
    <xf numFmtId="169" fontId="6" fillId="0" borderId="6" xfId="5" applyNumberFormat="1" applyFont="1" applyFill="1" applyBorder="1" applyAlignment="1" applyProtection="1">
      <alignment horizontal="right" indent="1"/>
    </xf>
    <xf numFmtId="0" fontId="3" fillId="0" borderId="7" xfId="5" applyNumberFormat="1" applyFont="1" applyFill="1" applyBorder="1" applyAlignment="1" applyProtection="1">
      <alignment horizontal="center"/>
    </xf>
    <xf numFmtId="170" fontId="3" fillId="0" borderId="7" xfId="0" applyNumberFormat="1" applyFont="1" applyBorder="1" applyAlignment="1">
      <alignment horizontal="right" indent="1"/>
    </xf>
    <xf numFmtId="0" fontId="7" fillId="0" borderId="8" xfId="5" applyNumberFormat="1" applyFont="1" applyFill="1" applyBorder="1" applyAlignment="1" applyProtection="1">
      <alignment horizontal="left"/>
    </xf>
    <xf numFmtId="0" fontId="4" fillId="0" borderId="8" xfId="5" applyNumberFormat="1" applyFont="1" applyFill="1" applyBorder="1" applyAlignment="1" applyProtection="1">
      <alignment horizontal="right" indent="1"/>
    </xf>
    <xf numFmtId="169" fontId="4" fillId="0" borderId="8" xfId="5" applyNumberFormat="1" applyFont="1" applyFill="1" applyBorder="1" applyAlignment="1" applyProtection="1">
      <alignment horizontal="right" indent="1"/>
    </xf>
    <xf numFmtId="3" fontId="4" fillId="0" borderId="8" xfId="5" applyNumberFormat="1" applyFont="1" applyFill="1" applyBorder="1" applyAlignment="1" applyProtection="1">
      <alignment horizontal="right" indent="1"/>
    </xf>
    <xf numFmtId="3" fontId="7" fillId="0" borderId="8" xfId="5" applyNumberFormat="1" applyFont="1" applyFill="1" applyBorder="1" applyAlignment="1" applyProtection="1">
      <alignment horizontal="right" indent="1"/>
    </xf>
    <xf numFmtId="2" fontId="0" fillId="0" borderId="0" xfId="0" applyNumberFormat="1"/>
    <xf numFmtId="0" fontId="0" fillId="0" borderId="0" xfId="0" applyFont="1"/>
    <xf numFmtId="3" fontId="8" fillId="0" borderId="0" xfId="1" applyNumberFormat="1" applyFont="1" applyAlignment="1">
      <alignment vertical="center"/>
    </xf>
    <xf numFmtId="3" fontId="8" fillId="0" borderId="0" xfId="1" applyNumberFormat="1" applyFont="1" applyFill="1" applyAlignment="1">
      <alignment vertical="center"/>
    </xf>
    <xf numFmtId="3" fontId="0" fillId="0" borderId="0" xfId="0" applyNumberFormat="1" applyFont="1"/>
  </cellXfs>
  <cellStyles count="6">
    <cellStyle name="Normál" xfId="0" builtinId="0"/>
    <cellStyle name="Normál 2" xfId="1" xr:uid="{38C2AD14-AA84-41B0-A4A8-EC7F9E9EA14D}"/>
    <cellStyle name="Normál 3" xfId="2" xr:uid="{3C1EF210-2A18-4525-A6D7-33D4DD6EB598}"/>
    <cellStyle name="Normál_11_életkor_2010" xfId="5" xr:uid="{887455CC-D050-458C-84D5-D61936B56936}"/>
    <cellStyle name="Normál_13_halálozás-életkor_2010" xfId="3" xr:uid="{FF883798-5A13-42E8-B7C6-F9172A9FA0C7}"/>
    <cellStyle name="Normál_2009.V.1-3" xfId="4" xr:uid="{EC0979FC-0FCC-4FC3-921B-F19E196461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topLeftCell="A58" workbookViewId="0">
      <selection activeCell="I61" sqref="I61"/>
    </sheetView>
  </sheetViews>
  <sheetFormatPr defaultRowHeight="14.5"/>
  <cols>
    <col min="1" max="1" width="5.26953125" customWidth="1"/>
    <col min="2" max="2" width="9.7265625" style="30" bestFit="1" customWidth="1"/>
  </cols>
  <sheetData>
    <row r="1" spans="1:6">
      <c r="A1" s="1" t="s">
        <v>2</v>
      </c>
      <c r="B1" s="30" t="s">
        <v>26</v>
      </c>
      <c r="C1" t="s">
        <v>25</v>
      </c>
      <c r="D1" t="s">
        <v>27</v>
      </c>
      <c r="E1" t="s">
        <v>28</v>
      </c>
      <c r="F1" t="s">
        <v>29</v>
      </c>
    </row>
    <row r="2" spans="1:6">
      <c r="A2" s="2">
        <v>0</v>
      </c>
      <c r="B2" s="31">
        <v>96676</v>
      </c>
      <c r="C2" s="3">
        <f>B2</f>
        <v>96676</v>
      </c>
      <c r="D2">
        <f>ROUND(helper!M2/26,0)</f>
        <v>53</v>
      </c>
      <c r="E2">
        <f>ROUND(helper!M2/52,0)</f>
        <v>26</v>
      </c>
      <c r="F2">
        <f>ROUND(B2*helper!Q2,0)</f>
        <v>0</v>
      </c>
    </row>
    <row r="3" spans="1:6">
      <c r="A3" s="2">
        <v>1</v>
      </c>
      <c r="B3" s="31">
        <v>92864</v>
      </c>
      <c r="C3" s="3">
        <f>B3-F3</f>
        <v>91425</v>
      </c>
      <c r="D3">
        <f>ROUND(helper!M3/26,0)</f>
        <v>111</v>
      </c>
      <c r="E3">
        <f>ROUND(helper!M3/52,0)</f>
        <v>55</v>
      </c>
      <c r="F3">
        <f>ROUND(B3*helper!Q3,0)</f>
        <v>1439</v>
      </c>
    </row>
    <row r="4" spans="1:6">
      <c r="A4" s="2">
        <v>2</v>
      </c>
      <c r="B4" s="31">
        <v>95398</v>
      </c>
      <c r="C4" s="3">
        <f t="shared" ref="C4:C67" si="0">B4-F4</f>
        <v>90914</v>
      </c>
      <c r="D4">
        <f>ROUND(helper!M4/26,0)</f>
        <v>239</v>
      </c>
      <c r="E4">
        <f>ROUND(helper!M4/52,0)</f>
        <v>119</v>
      </c>
      <c r="F4">
        <f>ROUND(B4*helper!Q4,0)</f>
        <v>4484</v>
      </c>
    </row>
    <row r="5" spans="1:6">
      <c r="A5" s="2">
        <v>3</v>
      </c>
      <c r="B5" s="31">
        <v>97946</v>
      </c>
      <c r="C5" s="3">
        <f t="shared" si="0"/>
        <v>87137</v>
      </c>
      <c r="D5">
        <f>ROUND(helper!M5/26,0)</f>
        <v>693</v>
      </c>
      <c r="E5">
        <f>ROUND(helper!M5/52,0)</f>
        <v>347</v>
      </c>
      <c r="F5">
        <f>ROUND(B5*helper!Q5,0)</f>
        <v>10809</v>
      </c>
    </row>
    <row r="6" spans="1:6">
      <c r="A6" s="2">
        <v>4</v>
      </c>
      <c r="B6" s="31">
        <v>103862</v>
      </c>
      <c r="C6" s="3">
        <f t="shared" si="0"/>
        <v>73581</v>
      </c>
      <c r="D6">
        <f>ROUND(helper!M6/26,0)</f>
        <v>893</v>
      </c>
      <c r="E6">
        <f>ROUND(helper!M6/52,0)</f>
        <v>446</v>
      </c>
      <c r="F6">
        <f>ROUND(B6*helper!Q6,0)</f>
        <v>30281</v>
      </c>
    </row>
    <row r="7" spans="1:6">
      <c r="A7" s="2">
        <v>5</v>
      </c>
      <c r="B7" s="31">
        <v>110187</v>
      </c>
      <c r="C7" s="3">
        <f t="shared" si="0"/>
        <v>52050</v>
      </c>
      <c r="D7">
        <f>ROUND(helper!M7/26,0)</f>
        <v>719</v>
      </c>
      <c r="E7">
        <f>ROUND(helper!M7/52,0)</f>
        <v>360</v>
      </c>
      <c r="F7">
        <f>ROUND(B7*helper!Q7,0)</f>
        <v>58137</v>
      </c>
    </row>
    <row r="8" spans="1:6">
      <c r="A8" s="2">
        <v>6</v>
      </c>
      <c r="B8" s="31">
        <v>112612</v>
      </c>
      <c r="C8" s="3">
        <f t="shared" si="0"/>
        <v>32160</v>
      </c>
      <c r="D8">
        <f>ROUND(helper!M8/26,0)</f>
        <v>406</v>
      </c>
      <c r="E8">
        <f>ROUND(helper!M8/52,0)</f>
        <v>203</v>
      </c>
      <c r="F8">
        <f>ROUND(B8*helper!Q8,0)</f>
        <v>80452</v>
      </c>
    </row>
    <row r="9" spans="1:6">
      <c r="A9" s="2">
        <v>7</v>
      </c>
      <c r="B9" s="31">
        <v>114774</v>
      </c>
      <c r="C9" s="3">
        <f t="shared" si="0"/>
        <v>20400</v>
      </c>
      <c r="D9">
        <f>ROUND(helper!M9/26,0)</f>
        <v>166</v>
      </c>
      <c r="E9">
        <f>ROUND(helper!M9/52,0)</f>
        <v>83</v>
      </c>
      <c r="F9">
        <f>ROUND(B9*helper!Q9,0)</f>
        <v>94374</v>
      </c>
    </row>
    <row r="10" spans="1:6">
      <c r="A10" s="2">
        <v>8</v>
      </c>
      <c r="B10" s="31">
        <v>119484</v>
      </c>
      <c r="C10" s="3">
        <f t="shared" si="0"/>
        <v>15711</v>
      </c>
      <c r="D10">
        <f>ROUND(helper!M10/26,0)</f>
        <v>79</v>
      </c>
      <c r="E10">
        <f>ROUND(helper!M10/52,0)</f>
        <v>39</v>
      </c>
      <c r="F10">
        <f>ROUND(B10*helper!Q10,0)</f>
        <v>103773</v>
      </c>
    </row>
    <row r="11" spans="1:6">
      <c r="A11" s="2">
        <v>9</v>
      </c>
      <c r="B11" s="31">
        <v>124661</v>
      </c>
      <c r="C11" s="3">
        <f t="shared" si="0"/>
        <v>13722</v>
      </c>
      <c r="D11">
        <f>ROUND(helper!M11/26,0)</f>
        <v>42</v>
      </c>
      <c r="E11">
        <f>ROUND(helper!M11/52,0)</f>
        <v>21</v>
      </c>
      <c r="F11">
        <f>ROUND(B11*helper!Q11,0)</f>
        <v>110939</v>
      </c>
    </row>
    <row r="12" spans="1:6">
      <c r="A12" s="2">
        <v>10</v>
      </c>
      <c r="B12" s="31">
        <v>125145</v>
      </c>
      <c r="C12" s="3">
        <f t="shared" si="0"/>
        <v>12351</v>
      </c>
      <c r="D12">
        <f>ROUND(helper!M12/26,0)</f>
        <v>27</v>
      </c>
      <c r="E12">
        <f>ROUND(helper!M12/52,0)</f>
        <v>13</v>
      </c>
      <c r="F12">
        <f>ROUND(B12*helper!Q12,0)</f>
        <v>112794</v>
      </c>
    </row>
    <row r="13" spans="1:6">
      <c r="A13" s="2">
        <v>11</v>
      </c>
      <c r="B13" s="31">
        <v>122141</v>
      </c>
      <c r="C13" s="3">
        <f t="shared" si="0"/>
        <v>11185</v>
      </c>
      <c r="D13">
        <f>ROUND(helper!M13/26,0)</f>
        <v>19</v>
      </c>
      <c r="E13">
        <f>ROUND(helper!M13/52,0)</f>
        <v>9</v>
      </c>
      <c r="F13">
        <f>ROUND(B13*helper!Q13,0)</f>
        <v>110956</v>
      </c>
    </row>
    <row r="14" spans="1:6">
      <c r="A14" s="2">
        <v>12</v>
      </c>
      <c r="B14" s="31">
        <v>123122</v>
      </c>
      <c r="C14" s="3">
        <f t="shared" si="0"/>
        <v>10648</v>
      </c>
      <c r="D14">
        <f>ROUND(helper!M14/26,0)</f>
        <v>14</v>
      </c>
      <c r="E14">
        <f>ROUND(helper!M14/52,0)</f>
        <v>7</v>
      </c>
      <c r="F14">
        <f>ROUND(B14*helper!Q14,0)</f>
        <v>112474</v>
      </c>
    </row>
    <row r="15" spans="1:6">
      <c r="A15" s="2">
        <v>13</v>
      </c>
      <c r="B15" s="31">
        <v>123987</v>
      </c>
      <c r="C15" s="3">
        <f t="shared" si="0"/>
        <v>10234</v>
      </c>
      <c r="D15">
        <f>ROUND(helper!M15/26,0)</f>
        <v>11</v>
      </c>
      <c r="E15">
        <f>ROUND(helper!M15/52,0)</f>
        <v>6</v>
      </c>
      <c r="F15">
        <f>ROUND(B15*helper!Q15,0)</f>
        <v>113753</v>
      </c>
    </row>
    <row r="16" spans="1:6">
      <c r="A16" s="2">
        <v>14</v>
      </c>
      <c r="B16" s="31">
        <v>129138</v>
      </c>
      <c r="C16" s="3">
        <f t="shared" si="0"/>
        <v>10277</v>
      </c>
      <c r="D16">
        <f>ROUND(helper!M16/26,0)</f>
        <v>9</v>
      </c>
      <c r="E16">
        <f>ROUND(helper!M16/52,0)</f>
        <v>5</v>
      </c>
      <c r="F16">
        <f>ROUND(B16*helper!Q16,0)</f>
        <v>118861</v>
      </c>
    </row>
    <row r="17" spans="1:6">
      <c r="A17" s="2">
        <v>15</v>
      </c>
      <c r="B17" s="31">
        <v>133563</v>
      </c>
      <c r="C17" s="3">
        <f t="shared" si="0"/>
        <v>10323</v>
      </c>
      <c r="D17">
        <f>ROUND(helper!M17/26,0)</f>
        <v>4</v>
      </c>
      <c r="E17">
        <f>ROUND(helper!M17/52,0)</f>
        <v>2</v>
      </c>
      <c r="F17">
        <f>ROUND(B17*helper!Q17,0)</f>
        <v>123240</v>
      </c>
    </row>
    <row r="18" spans="1:6">
      <c r="A18" s="2">
        <v>16</v>
      </c>
      <c r="B18" s="31">
        <v>128051</v>
      </c>
      <c r="C18" s="3">
        <f t="shared" si="0"/>
        <v>9785</v>
      </c>
      <c r="D18">
        <f>ROUND(helper!M18/26,0)</f>
        <v>4</v>
      </c>
      <c r="E18">
        <f>ROUND(helper!M18/52,0)</f>
        <v>2</v>
      </c>
      <c r="F18">
        <f>ROUND(B18*helper!Q18,0)</f>
        <v>118266</v>
      </c>
    </row>
    <row r="19" spans="1:6">
      <c r="A19" s="2">
        <v>17</v>
      </c>
      <c r="B19" s="31">
        <v>129158</v>
      </c>
      <c r="C19" s="3">
        <f t="shared" si="0"/>
        <v>9759</v>
      </c>
      <c r="D19">
        <f>ROUND(helper!M19/26,0)</f>
        <v>4</v>
      </c>
      <c r="E19">
        <f>ROUND(helper!M19/52,0)</f>
        <v>2</v>
      </c>
      <c r="F19">
        <f>ROUND(B19*helper!Q19,0)</f>
        <v>119399</v>
      </c>
    </row>
    <row r="20" spans="1:6">
      <c r="A20" s="2">
        <v>18</v>
      </c>
      <c r="B20" s="31">
        <v>134433</v>
      </c>
      <c r="C20" s="3">
        <f t="shared" si="0"/>
        <v>10047</v>
      </c>
      <c r="D20">
        <f>ROUND(helper!M20/26,0)</f>
        <v>4</v>
      </c>
      <c r="E20">
        <f>ROUND(helper!M20/52,0)</f>
        <v>2</v>
      </c>
      <c r="F20">
        <f>ROUND(B20*helper!Q20,0)</f>
        <v>124386</v>
      </c>
    </row>
    <row r="21" spans="1:6">
      <c r="A21" s="2">
        <v>19</v>
      </c>
      <c r="B21" s="31">
        <v>143187</v>
      </c>
      <c r="C21" s="3">
        <f t="shared" si="0"/>
        <v>10585</v>
      </c>
      <c r="D21">
        <f>ROUND(helper!M21/26,0)</f>
        <v>4</v>
      </c>
      <c r="E21">
        <f>ROUND(helper!M21/52,0)</f>
        <v>2</v>
      </c>
      <c r="F21">
        <f>ROUND(B21*helper!Q21,0)</f>
        <v>132602</v>
      </c>
    </row>
    <row r="22" spans="1:6">
      <c r="A22" s="2">
        <v>20</v>
      </c>
      <c r="B22" s="31">
        <v>149923</v>
      </c>
      <c r="C22" s="3">
        <f t="shared" si="0"/>
        <v>10966</v>
      </c>
      <c r="D22">
        <f>ROUND(helper!M22/26,0)</f>
        <v>1</v>
      </c>
      <c r="E22">
        <f>ROUND(helper!M22/52,0)</f>
        <v>1</v>
      </c>
      <c r="F22">
        <f>ROUND(B22*helper!Q22,0)</f>
        <v>138957</v>
      </c>
    </row>
    <row r="23" spans="1:6">
      <c r="A23" s="2">
        <v>21</v>
      </c>
      <c r="B23" s="31">
        <v>157094</v>
      </c>
      <c r="C23" s="3">
        <f t="shared" si="0"/>
        <v>11455</v>
      </c>
      <c r="D23">
        <f>ROUND(helper!M23/26,0)</f>
        <v>1</v>
      </c>
      <c r="E23">
        <f>ROUND(helper!M23/52,0)</f>
        <v>1</v>
      </c>
      <c r="F23">
        <f>ROUND(B23*helper!Q23,0)</f>
        <v>145639</v>
      </c>
    </row>
    <row r="24" spans="1:6">
      <c r="A24" s="2">
        <v>22</v>
      </c>
      <c r="B24" s="31">
        <v>162350</v>
      </c>
      <c r="C24" s="3">
        <f t="shared" si="0"/>
        <v>11800</v>
      </c>
      <c r="D24">
        <f>ROUND(helper!M24/26,0)</f>
        <v>1</v>
      </c>
      <c r="E24">
        <f>ROUND(helper!M24/52,0)</f>
        <v>1</v>
      </c>
      <c r="F24">
        <f>ROUND(B24*helper!Q24,0)</f>
        <v>150550</v>
      </c>
    </row>
    <row r="25" spans="1:6">
      <c r="A25" s="2">
        <v>23</v>
      </c>
      <c r="B25" s="31">
        <v>168002</v>
      </c>
      <c r="C25" s="3">
        <f t="shared" si="0"/>
        <v>12171</v>
      </c>
      <c r="D25">
        <f>ROUND(helper!M25/26,0)</f>
        <v>1</v>
      </c>
      <c r="E25">
        <f>ROUND(helper!M25/52,0)</f>
        <v>1</v>
      </c>
      <c r="F25">
        <f>ROUND(B25*helper!Q25,0)</f>
        <v>155831</v>
      </c>
    </row>
    <row r="26" spans="1:6">
      <c r="A26" s="2">
        <v>24</v>
      </c>
      <c r="B26" s="31">
        <v>174358</v>
      </c>
      <c r="C26" s="3">
        <f t="shared" si="0"/>
        <v>12590</v>
      </c>
      <c r="D26">
        <f>ROUND(helper!M26/26,0)</f>
        <v>1</v>
      </c>
      <c r="E26">
        <f>ROUND(helper!M26/52,0)</f>
        <v>1</v>
      </c>
      <c r="F26">
        <f>ROUND(B26*helper!Q26,0)</f>
        <v>161768</v>
      </c>
    </row>
    <row r="27" spans="1:6">
      <c r="A27" s="2">
        <v>25</v>
      </c>
      <c r="B27" s="31">
        <v>181044</v>
      </c>
      <c r="C27" s="3">
        <f t="shared" si="0"/>
        <v>13029</v>
      </c>
      <c r="D27">
        <f>ROUND(helper!M27/26,0)</f>
        <v>1</v>
      </c>
      <c r="E27">
        <f>ROUND(helper!M27/52,0)</f>
        <v>1</v>
      </c>
      <c r="F27">
        <f>ROUND(B27*helper!Q27,0)</f>
        <v>168015</v>
      </c>
    </row>
    <row r="28" spans="1:6">
      <c r="A28" s="2">
        <v>26</v>
      </c>
      <c r="B28" s="31">
        <v>172946</v>
      </c>
      <c r="C28" s="3">
        <f t="shared" si="0"/>
        <v>12405</v>
      </c>
      <c r="D28">
        <f>ROUND(helper!M28/26,0)</f>
        <v>1</v>
      </c>
      <c r="E28">
        <f>ROUND(helper!M28/52,0)</f>
        <v>1</v>
      </c>
      <c r="F28">
        <f>ROUND(B28*helper!Q28,0)</f>
        <v>160541</v>
      </c>
    </row>
    <row r="29" spans="1:6">
      <c r="A29" s="2">
        <v>27</v>
      </c>
      <c r="B29" s="31">
        <v>145417</v>
      </c>
      <c r="C29" s="3">
        <f t="shared" si="0"/>
        <v>10396</v>
      </c>
      <c r="D29">
        <f>ROUND(helper!M29/26,0)</f>
        <v>1</v>
      </c>
      <c r="E29">
        <f>ROUND(helper!M29/52,0)</f>
        <v>1</v>
      </c>
      <c r="F29">
        <f>ROUND(B29*helper!Q29,0)</f>
        <v>135021</v>
      </c>
    </row>
    <row r="30" spans="1:6">
      <c r="A30" s="2">
        <v>28</v>
      </c>
      <c r="B30" s="31">
        <v>144654</v>
      </c>
      <c r="C30" s="3">
        <f t="shared" si="0"/>
        <v>10306</v>
      </c>
      <c r="D30">
        <f>ROUND(helper!M30/26,0)</f>
        <v>1</v>
      </c>
      <c r="E30">
        <f>ROUND(helper!M30/52,0)</f>
        <v>1</v>
      </c>
      <c r="F30">
        <f>ROUND(B30*helper!Q30,0)</f>
        <v>134348</v>
      </c>
    </row>
    <row r="31" spans="1:6">
      <c r="A31" s="2">
        <v>29</v>
      </c>
      <c r="B31" s="31">
        <v>141084</v>
      </c>
      <c r="C31" s="3">
        <f t="shared" si="0"/>
        <v>10018</v>
      </c>
      <c r="D31">
        <f>ROUND(helper!M31/26,0)</f>
        <v>1</v>
      </c>
      <c r="E31">
        <f>ROUND(helper!M31/52,0)</f>
        <v>1</v>
      </c>
      <c r="F31">
        <f>ROUND(B31*helper!Q31,0)</f>
        <v>131066</v>
      </c>
    </row>
    <row r="32" spans="1:6">
      <c r="A32" s="2">
        <v>30</v>
      </c>
      <c r="B32" s="31">
        <v>145705</v>
      </c>
      <c r="C32" s="3">
        <f t="shared" si="0"/>
        <v>10313</v>
      </c>
      <c r="D32">
        <f>ROUND(helper!M32/26,0)</f>
        <v>1</v>
      </c>
      <c r="E32">
        <f>ROUND(helper!M32/52,0)</f>
        <v>1</v>
      </c>
      <c r="F32">
        <f>ROUND(B32*helper!Q32,0)</f>
        <v>135392</v>
      </c>
    </row>
    <row r="33" spans="1:6">
      <c r="A33" s="2">
        <v>31</v>
      </c>
      <c r="B33" s="31">
        <v>143953</v>
      </c>
      <c r="C33" s="3">
        <f t="shared" si="0"/>
        <v>10158</v>
      </c>
      <c r="D33">
        <f>ROUND(helper!M33/26,0)</f>
        <v>1</v>
      </c>
      <c r="E33">
        <f>ROUND(helper!M33/52,0)</f>
        <v>1</v>
      </c>
      <c r="F33">
        <f>ROUND(B33*helper!Q33,0)</f>
        <v>133795</v>
      </c>
    </row>
    <row r="34" spans="1:6">
      <c r="A34" s="2">
        <v>32</v>
      </c>
      <c r="B34" s="31">
        <v>145194</v>
      </c>
      <c r="C34" s="3">
        <f t="shared" si="0"/>
        <v>10216</v>
      </c>
      <c r="D34">
        <f>ROUND(helper!M34/26,0)</f>
        <v>1</v>
      </c>
      <c r="E34">
        <f>ROUND(helper!M34/52,0)</f>
        <v>1</v>
      </c>
      <c r="F34">
        <f>ROUND(B34*helper!Q34,0)</f>
        <v>134978</v>
      </c>
    </row>
    <row r="35" spans="1:6">
      <c r="A35" s="2">
        <v>33</v>
      </c>
      <c r="B35" s="31">
        <v>139103</v>
      </c>
      <c r="C35" s="3">
        <f t="shared" si="0"/>
        <v>9760</v>
      </c>
      <c r="D35">
        <f>ROUND(helper!M35/26,0)</f>
        <v>1</v>
      </c>
      <c r="E35">
        <f>ROUND(helper!M35/52,0)</f>
        <v>1</v>
      </c>
      <c r="F35">
        <f>ROUND(B35*helper!Q35,0)</f>
        <v>129343</v>
      </c>
    </row>
    <row r="36" spans="1:6">
      <c r="A36" s="2">
        <v>34</v>
      </c>
      <c r="B36" s="31">
        <v>127404</v>
      </c>
      <c r="C36" s="3">
        <f t="shared" si="0"/>
        <v>8916</v>
      </c>
      <c r="D36">
        <f>ROUND(helper!M36/26,0)</f>
        <v>1</v>
      </c>
      <c r="E36">
        <f>ROUND(helper!M36/52,0)</f>
        <v>1</v>
      </c>
      <c r="F36">
        <f>ROUND(B36*helper!Q36,0)</f>
        <v>118488</v>
      </c>
    </row>
    <row r="37" spans="1:6">
      <c r="A37" s="2">
        <v>35</v>
      </c>
      <c r="B37" s="31">
        <v>123682</v>
      </c>
      <c r="C37" s="3">
        <f t="shared" si="0"/>
        <v>8634</v>
      </c>
      <c r="D37">
        <f>ROUND(helper!M37/26,0)</f>
        <v>1</v>
      </c>
      <c r="E37">
        <f>ROUND(helper!M37/52,0)</f>
        <v>1</v>
      </c>
      <c r="F37">
        <f>ROUND(B37*helper!Q37,0)</f>
        <v>115048</v>
      </c>
    </row>
    <row r="38" spans="1:6">
      <c r="A38" s="2">
        <v>36</v>
      </c>
      <c r="B38" s="31">
        <v>121535</v>
      </c>
      <c r="C38" s="3">
        <f t="shared" si="0"/>
        <v>8464</v>
      </c>
      <c r="D38">
        <f>ROUND(helper!M38/26,0)</f>
        <v>1</v>
      </c>
      <c r="E38">
        <f>ROUND(helper!M38/52,0)</f>
        <v>1</v>
      </c>
      <c r="F38">
        <f>ROUND(B38*helper!Q38,0)</f>
        <v>113071</v>
      </c>
    </row>
    <row r="39" spans="1:6">
      <c r="A39" s="2">
        <v>37</v>
      </c>
      <c r="B39" s="31">
        <v>121246</v>
      </c>
      <c r="C39" s="3">
        <f t="shared" si="0"/>
        <v>8425</v>
      </c>
      <c r="D39">
        <f>ROUND(helper!M39/26,0)</f>
        <v>1</v>
      </c>
      <c r="E39">
        <f>ROUND(helper!M39/52,0)</f>
        <v>1</v>
      </c>
      <c r="F39">
        <f>ROUND(B39*helper!Q39,0)</f>
        <v>112821</v>
      </c>
    </row>
    <row r="40" spans="1:6">
      <c r="A40" s="2">
        <v>38</v>
      </c>
      <c r="B40" s="31">
        <v>118489</v>
      </c>
      <c r="C40" s="3">
        <f t="shared" si="0"/>
        <v>8212</v>
      </c>
      <c r="D40">
        <f>ROUND(helper!M40/26,0)</f>
        <v>1</v>
      </c>
      <c r="E40">
        <f>ROUND(helper!M40/52,0)</f>
        <v>1</v>
      </c>
      <c r="F40">
        <f>ROUND(B40*helper!Q40,0)</f>
        <v>110277</v>
      </c>
    </row>
    <row r="41" spans="1:6">
      <c r="A41" s="2">
        <v>39</v>
      </c>
      <c r="B41" s="31">
        <v>125874</v>
      </c>
      <c r="C41" s="3">
        <f t="shared" si="0"/>
        <v>8699</v>
      </c>
      <c r="D41">
        <f>ROUND(helper!M41/26,0)</f>
        <v>1</v>
      </c>
      <c r="E41">
        <f>ROUND(helper!M41/52,0)</f>
        <v>1</v>
      </c>
      <c r="F41">
        <f>ROUND(B41*helper!Q41,0)</f>
        <v>117175</v>
      </c>
    </row>
    <row r="42" spans="1:6">
      <c r="A42" s="2">
        <v>40</v>
      </c>
      <c r="B42" s="31">
        <v>133418</v>
      </c>
      <c r="C42" s="3">
        <f t="shared" si="0"/>
        <v>9193</v>
      </c>
      <c r="D42">
        <f>ROUND(helper!M42/26,0)</f>
        <v>0</v>
      </c>
      <c r="E42">
        <f>ROUND(helper!M42/52,0)</f>
        <v>0</v>
      </c>
      <c r="F42">
        <f>ROUND(B42*helper!Q42,0)</f>
        <v>124225</v>
      </c>
    </row>
    <row r="43" spans="1:6">
      <c r="A43" s="2">
        <v>41</v>
      </c>
      <c r="B43" s="31">
        <v>132255</v>
      </c>
      <c r="C43" s="3">
        <f t="shared" si="0"/>
        <v>9103</v>
      </c>
      <c r="D43">
        <f>ROUND(helper!M43/26,0)</f>
        <v>0</v>
      </c>
      <c r="E43">
        <f>ROUND(helper!M43/52,0)</f>
        <v>0</v>
      </c>
      <c r="F43">
        <f>ROUND(B43*helper!Q43,0)</f>
        <v>123152</v>
      </c>
    </row>
    <row r="44" spans="1:6">
      <c r="A44" s="2">
        <v>42</v>
      </c>
      <c r="B44" s="31">
        <v>139181</v>
      </c>
      <c r="C44" s="3">
        <f t="shared" si="0"/>
        <v>9571</v>
      </c>
      <c r="D44">
        <f>ROUND(helper!M44/26,0)</f>
        <v>0</v>
      </c>
      <c r="E44">
        <f>ROUND(helper!M44/52,0)</f>
        <v>0</v>
      </c>
      <c r="F44">
        <f>ROUND(B44*helper!Q44,0)</f>
        <v>129610</v>
      </c>
    </row>
    <row r="45" spans="1:6">
      <c r="A45" s="2">
        <v>43</v>
      </c>
      <c r="B45" s="31">
        <v>143915</v>
      </c>
      <c r="C45" s="3">
        <f t="shared" si="0"/>
        <v>9887</v>
      </c>
      <c r="D45">
        <f>ROUND(helper!M45/26,0)</f>
        <v>0</v>
      </c>
      <c r="E45">
        <f>ROUND(helper!M45/52,0)</f>
        <v>0</v>
      </c>
      <c r="F45">
        <f>ROUND(B45*helper!Q45,0)</f>
        <v>134028</v>
      </c>
    </row>
    <row r="46" spans="1:6">
      <c r="A46" s="2">
        <v>44</v>
      </c>
      <c r="B46" s="31">
        <v>164044</v>
      </c>
      <c r="C46" s="3">
        <f t="shared" si="0"/>
        <v>11259</v>
      </c>
      <c r="D46">
        <f>ROUND(helper!M46/26,0)</f>
        <v>0</v>
      </c>
      <c r="E46">
        <f>ROUND(helper!M46/52,0)</f>
        <v>0</v>
      </c>
      <c r="F46">
        <f>ROUND(B46*helper!Q46,0)</f>
        <v>152785</v>
      </c>
    </row>
    <row r="47" spans="1:6">
      <c r="A47" s="2">
        <v>45</v>
      </c>
      <c r="B47" s="31">
        <v>175165</v>
      </c>
      <c r="C47" s="3">
        <f t="shared" si="0"/>
        <v>12010</v>
      </c>
      <c r="D47">
        <f>ROUND(helper!M47/26,0)</f>
        <v>0</v>
      </c>
      <c r="E47">
        <f>ROUND(helper!M47/52,0)</f>
        <v>0</v>
      </c>
      <c r="F47">
        <f>ROUND(B47*helper!Q47,0)</f>
        <v>163155</v>
      </c>
    </row>
    <row r="48" spans="1:6">
      <c r="A48" s="2">
        <v>46</v>
      </c>
      <c r="B48" s="31">
        <v>183711</v>
      </c>
      <c r="C48" s="3">
        <f t="shared" si="0"/>
        <v>12581</v>
      </c>
      <c r="D48">
        <f>ROUND(helper!M48/26,0)</f>
        <v>0</v>
      </c>
      <c r="E48">
        <f>ROUND(helper!M48/52,0)</f>
        <v>0</v>
      </c>
      <c r="F48">
        <f>ROUND(B48*helper!Q48,0)</f>
        <v>171130</v>
      </c>
    </row>
    <row r="49" spans="1:6">
      <c r="A49" s="2">
        <v>47</v>
      </c>
      <c r="B49" s="31">
        <v>167115</v>
      </c>
      <c r="C49" s="3">
        <f t="shared" si="0"/>
        <v>11432</v>
      </c>
      <c r="D49">
        <f>ROUND(helper!M49/26,0)</f>
        <v>0</v>
      </c>
      <c r="E49">
        <f>ROUND(helper!M49/52,0)</f>
        <v>0</v>
      </c>
      <c r="F49">
        <f>ROUND(B49*helper!Q49,0)</f>
        <v>155683</v>
      </c>
    </row>
    <row r="50" spans="1:6">
      <c r="A50" s="2">
        <v>48</v>
      </c>
      <c r="B50" s="31">
        <v>149758</v>
      </c>
      <c r="C50" s="3">
        <f t="shared" si="0"/>
        <v>10232</v>
      </c>
      <c r="D50">
        <f>ROUND(helper!M50/26,0)</f>
        <v>0</v>
      </c>
      <c r="E50">
        <f>ROUND(helper!M50/52,0)</f>
        <v>0</v>
      </c>
      <c r="F50">
        <f>ROUND(B50*helper!Q50,0)</f>
        <v>139526</v>
      </c>
    </row>
    <row r="51" spans="1:6">
      <c r="A51" s="2">
        <v>49</v>
      </c>
      <c r="B51" s="31">
        <v>150679</v>
      </c>
      <c r="C51" s="3">
        <f t="shared" si="0"/>
        <v>10283</v>
      </c>
      <c r="D51">
        <f>ROUND(helper!M51/26,0)</f>
        <v>0</v>
      </c>
      <c r="E51">
        <f>ROUND(helper!M51/52,0)</f>
        <v>0</v>
      </c>
      <c r="F51">
        <f>ROUND(B51*helper!Q51,0)</f>
        <v>140396</v>
      </c>
    </row>
    <row r="52" spans="1:6">
      <c r="A52" s="2">
        <v>50</v>
      </c>
      <c r="B52" s="31">
        <v>154879</v>
      </c>
      <c r="C52" s="3">
        <f t="shared" si="0"/>
        <v>10557</v>
      </c>
      <c r="D52">
        <f>ROUND(helper!M52/26,0)</f>
        <v>0</v>
      </c>
      <c r="E52">
        <f>ROUND(helper!M52/52,0)</f>
        <v>0</v>
      </c>
      <c r="F52">
        <f>ROUND(B52*helper!Q52,0)</f>
        <v>144322</v>
      </c>
    </row>
    <row r="53" spans="1:6">
      <c r="A53" s="2">
        <v>51</v>
      </c>
      <c r="B53" s="31">
        <v>146276</v>
      </c>
      <c r="C53" s="3">
        <f t="shared" si="0"/>
        <v>9967</v>
      </c>
      <c r="D53">
        <f>ROUND(helper!M53/26,0)</f>
        <v>0</v>
      </c>
      <c r="E53">
        <f>ROUND(helper!M53/52,0)</f>
        <v>0</v>
      </c>
      <c r="F53">
        <f>ROUND(B53*helper!Q53,0)</f>
        <v>136309</v>
      </c>
    </row>
    <row r="54" spans="1:6">
      <c r="A54" s="2">
        <v>52</v>
      </c>
      <c r="B54" s="31">
        <v>143578</v>
      </c>
      <c r="C54" s="3">
        <f t="shared" si="0"/>
        <v>9781</v>
      </c>
      <c r="D54">
        <f>ROUND(helper!M54/26,0)</f>
        <v>0</v>
      </c>
      <c r="E54">
        <f>ROUND(helper!M54/52,0)</f>
        <v>0</v>
      </c>
      <c r="F54">
        <f>ROUND(B54*helper!Q54,0)</f>
        <v>133797</v>
      </c>
    </row>
    <row r="55" spans="1:6">
      <c r="A55" s="2">
        <v>53</v>
      </c>
      <c r="B55" s="31">
        <v>137180</v>
      </c>
      <c r="C55" s="3">
        <f t="shared" si="0"/>
        <v>9342</v>
      </c>
      <c r="D55">
        <f>ROUND(helper!M55/26,0)</f>
        <v>0</v>
      </c>
      <c r="E55">
        <f>ROUND(helper!M55/52,0)</f>
        <v>0</v>
      </c>
      <c r="F55">
        <f>ROUND(B55*helper!Q55,0)</f>
        <v>127838</v>
      </c>
    </row>
    <row r="56" spans="1:6">
      <c r="A56" s="2">
        <v>54</v>
      </c>
      <c r="B56" s="31">
        <v>120058</v>
      </c>
      <c r="C56" s="3">
        <f t="shared" si="0"/>
        <v>8174</v>
      </c>
      <c r="D56">
        <f>ROUND(helper!M56/26,0)</f>
        <v>0</v>
      </c>
      <c r="E56">
        <f>ROUND(helper!M56/52,0)</f>
        <v>0</v>
      </c>
      <c r="F56">
        <f>ROUND(B56*helper!Q56,0)</f>
        <v>111884</v>
      </c>
    </row>
    <row r="57" spans="1:6">
      <c r="A57" s="2">
        <v>55</v>
      </c>
      <c r="B57" s="31">
        <v>117801</v>
      </c>
      <c r="C57" s="3">
        <f t="shared" si="0"/>
        <v>8019</v>
      </c>
      <c r="D57">
        <f>ROUND(helper!M57/26,0)</f>
        <v>0</v>
      </c>
      <c r="E57">
        <f>ROUND(helper!M57/52,0)</f>
        <v>0</v>
      </c>
      <c r="F57">
        <f>ROUND(B57*helper!Q57,0)</f>
        <v>109782</v>
      </c>
    </row>
    <row r="58" spans="1:6">
      <c r="A58" s="2">
        <v>56</v>
      </c>
      <c r="B58" s="31">
        <v>132714</v>
      </c>
      <c r="C58" s="3">
        <f t="shared" si="0"/>
        <v>9032</v>
      </c>
      <c r="D58">
        <f>ROUND(helper!M58/26,0)</f>
        <v>0</v>
      </c>
      <c r="E58">
        <f>ROUND(helper!M58/52,0)</f>
        <v>0</v>
      </c>
      <c r="F58">
        <f>ROUND(B58*helper!Q58,0)</f>
        <v>123682</v>
      </c>
    </row>
    <row r="59" spans="1:6">
      <c r="A59" s="2">
        <v>57</v>
      </c>
      <c r="B59" s="31">
        <v>121511</v>
      </c>
      <c r="C59" s="3">
        <f t="shared" si="0"/>
        <v>8268</v>
      </c>
      <c r="D59">
        <f>ROUND(helper!M59/26,0)</f>
        <v>0</v>
      </c>
      <c r="E59">
        <f>ROUND(helper!M59/52,0)</f>
        <v>0</v>
      </c>
      <c r="F59">
        <f>ROUND(B59*helper!Q59,0)</f>
        <v>113243</v>
      </c>
    </row>
    <row r="60" spans="1:6">
      <c r="A60" s="2">
        <v>58</v>
      </c>
      <c r="B60" s="31">
        <v>123909</v>
      </c>
      <c r="C60" s="3">
        <f t="shared" si="0"/>
        <v>8429</v>
      </c>
      <c r="D60">
        <f>ROUND(helper!M60/26,0)</f>
        <v>0</v>
      </c>
      <c r="E60">
        <f>ROUND(helper!M60/52,0)</f>
        <v>0</v>
      </c>
      <c r="F60">
        <f>ROUND(B60*helper!Q60,0)</f>
        <v>115480</v>
      </c>
    </row>
    <row r="61" spans="1:6">
      <c r="A61" s="2">
        <v>59</v>
      </c>
      <c r="B61" s="31">
        <v>114481</v>
      </c>
      <c r="C61" s="3">
        <f t="shared" si="0"/>
        <v>7786</v>
      </c>
      <c r="D61">
        <f>ROUND(helper!M61/26,0)</f>
        <v>0</v>
      </c>
      <c r="E61">
        <f>ROUND(helper!M61/52,0)</f>
        <v>0</v>
      </c>
      <c r="F61">
        <f>ROUND(B61*helper!Q61,0)</f>
        <v>106695</v>
      </c>
    </row>
    <row r="62" spans="1:6">
      <c r="A62" s="2">
        <v>60</v>
      </c>
      <c r="B62" s="31">
        <v>117860</v>
      </c>
      <c r="C62" s="3">
        <f t="shared" si="0"/>
        <v>8013</v>
      </c>
      <c r="D62">
        <f>ROUND(helper!M62/26,0)</f>
        <v>0</v>
      </c>
      <c r="E62">
        <f>ROUND(helper!M62/52,0)</f>
        <v>0</v>
      </c>
      <c r="F62">
        <f>ROUND(B62*helper!Q62,0)</f>
        <v>109847</v>
      </c>
    </row>
    <row r="63" spans="1:6">
      <c r="A63" s="2">
        <v>61</v>
      </c>
      <c r="B63" s="31">
        <v>108190</v>
      </c>
      <c r="C63" s="3">
        <f t="shared" si="0"/>
        <v>7355</v>
      </c>
      <c r="D63">
        <f>ROUND(helper!M63/26,0)</f>
        <v>0</v>
      </c>
      <c r="E63">
        <f>ROUND(helper!M63/52,0)</f>
        <v>0</v>
      </c>
      <c r="F63">
        <f>ROUND(B63*helper!Q63,0)</f>
        <v>100835</v>
      </c>
    </row>
    <row r="64" spans="1:6">
      <c r="A64" s="2">
        <v>62</v>
      </c>
      <c r="B64" s="31">
        <v>106387</v>
      </c>
      <c r="C64" s="3">
        <f t="shared" si="0"/>
        <v>7231</v>
      </c>
      <c r="D64">
        <f>ROUND(helper!M64/26,0)</f>
        <v>0</v>
      </c>
      <c r="E64">
        <f>ROUND(helper!M64/52,0)</f>
        <v>0</v>
      </c>
      <c r="F64">
        <f>ROUND(B64*helper!Q64,0)</f>
        <v>99156</v>
      </c>
    </row>
    <row r="65" spans="1:6">
      <c r="A65" s="2">
        <v>63</v>
      </c>
      <c r="B65" s="31">
        <v>102165</v>
      </c>
      <c r="C65" s="3">
        <f t="shared" si="0"/>
        <v>6943</v>
      </c>
      <c r="D65">
        <f>ROUND(helper!M65/26,0)</f>
        <v>0</v>
      </c>
      <c r="E65">
        <f>ROUND(helper!M65/52,0)</f>
        <v>0</v>
      </c>
      <c r="F65">
        <f>ROUND(B65*helper!Q65,0)</f>
        <v>95222</v>
      </c>
    </row>
    <row r="66" spans="1:6">
      <c r="A66" s="2">
        <v>64</v>
      </c>
      <c r="B66" s="31">
        <v>99642</v>
      </c>
      <c r="C66" s="3">
        <f t="shared" si="0"/>
        <v>6771</v>
      </c>
      <c r="D66">
        <f>ROUND(helper!M66/26,0)</f>
        <v>0</v>
      </c>
      <c r="E66">
        <f>ROUND(helper!M66/52,0)</f>
        <v>0</v>
      </c>
      <c r="F66">
        <f>ROUND(B66*helper!Q66,0)</f>
        <v>92871</v>
      </c>
    </row>
    <row r="67" spans="1:6">
      <c r="A67" s="2" t="s">
        <v>0</v>
      </c>
      <c r="B67" s="32">
        <v>1544980</v>
      </c>
      <c r="C67" s="3">
        <f t="shared" si="0"/>
        <v>104964</v>
      </c>
      <c r="D67">
        <f>ROUND(helper!M67/26,0)</f>
        <v>0</v>
      </c>
      <c r="E67">
        <f>ROUND(helper!M67/52,0)</f>
        <v>0</v>
      </c>
      <c r="F67">
        <f>ROUND(B67*helper!Q67,0)</f>
        <v>1440016</v>
      </c>
    </row>
    <row r="68" spans="1:6">
      <c r="A68" s="2" t="s">
        <v>30</v>
      </c>
      <c r="B68" s="33">
        <f>SUM(B2:B67)</f>
        <v>10200298</v>
      </c>
      <c r="C68" s="33">
        <f t="shared" ref="C68:F68" si="1">SUM(C2:C67)</f>
        <v>1222086</v>
      </c>
      <c r="D68" s="33">
        <f t="shared" si="1"/>
        <v>3521</v>
      </c>
      <c r="E68" s="33">
        <f t="shared" si="1"/>
        <v>1769</v>
      </c>
      <c r="F68" s="33">
        <f t="shared" si="1"/>
        <v>8978212</v>
      </c>
    </row>
    <row r="69" spans="1:6">
      <c r="A69" s="2"/>
    </row>
    <row r="70" spans="1:6">
      <c r="A70" s="2"/>
    </row>
    <row r="71" spans="1:6">
      <c r="A71" s="2"/>
    </row>
    <row r="72" spans="1:6">
      <c r="A72" s="2"/>
    </row>
    <row r="73" spans="1:6">
      <c r="A73" s="2"/>
    </row>
    <row r="74" spans="1:6">
      <c r="A74" s="2"/>
    </row>
    <row r="75" spans="1:6">
      <c r="A75" s="2"/>
    </row>
    <row r="76" spans="1:6">
      <c r="A76" s="2"/>
    </row>
    <row r="77" spans="1:6">
      <c r="A77" s="2"/>
    </row>
    <row r="78" spans="1:6">
      <c r="A78" s="2"/>
    </row>
    <row r="79" spans="1:6">
      <c r="A79" s="2"/>
    </row>
    <row r="80" spans="1:6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0EE92-E1DE-4EEB-85ED-79A00D3FE3F5}">
  <dimension ref="A1:Q70"/>
  <sheetViews>
    <sheetView topLeftCell="J1" workbookViewId="0">
      <selection activeCell="M3" sqref="M3"/>
    </sheetView>
  </sheetViews>
  <sheetFormatPr defaultRowHeight="14.5"/>
  <cols>
    <col min="2" max="2" width="10.90625" customWidth="1"/>
    <col min="12" max="12" width="19.54296875" bestFit="1" customWidth="1"/>
    <col min="13" max="13" width="12.26953125" bestFit="1" customWidth="1"/>
    <col min="14" max="15" width="12.26953125" customWidth="1"/>
    <col min="17" max="17" width="11.08984375" customWidth="1"/>
  </cols>
  <sheetData>
    <row r="1" spans="1:17">
      <c r="A1" t="s">
        <v>2</v>
      </c>
      <c r="B1" t="s">
        <v>23</v>
      </c>
      <c r="C1" t="s">
        <v>24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 t="s">
        <v>6</v>
      </c>
      <c r="L1" t="s">
        <v>7</v>
      </c>
      <c r="M1" t="s">
        <v>8</v>
      </c>
      <c r="N1" t="s">
        <v>21</v>
      </c>
      <c r="O1" t="s">
        <v>22</v>
      </c>
      <c r="P1" t="s">
        <v>19</v>
      </c>
      <c r="Q1" t="s">
        <v>20</v>
      </c>
    </row>
    <row r="2" spans="1:17">
      <c r="A2">
        <v>0</v>
      </c>
      <c r="B2">
        <v>88278</v>
      </c>
      <c r="D2">
        <f>Varicella!B2</f>
        <v>1245</v>
      </c>
      <c r="E2">
        <f>Varicella!C2</f>
        <v>1070</v>
      </c>
      <c r="F2">
        <f>Varicella!D2</f>
        <v>1252</v>
      </c>
      <c r="G2">
        <f>Varicella!E2</f>
        <v>1052</v>
      </c>
      <c r="H2">
        <f>Varicella!F2</f>
        <v>1577</v>
      </c>
      <c r="I2">
        <f>Varicella!G2</f>
        <v>1518</v>
      </c>
      <c r="J2">
        <f>Varicella!H2</f>
        <v>1343</v>
      </c>
      <c r="K2">
        <v>1293.8571428571429</v>
      </c>
      <c r="L2">
        <v>4.7475615099429949E-3</v>
      </c>
      <c r="M2">
        <f>K2*(1+L$70*L2)</f>
        <v>1367.5691393066634</v>
      </c>
      <c r="N2">
        <f>M2/B2</f>
        <v>1.5491618968561402E-2</v>
      </c>
      <c r="O2">
        <f>N2</f>
        <v>1.5491618968561402E-2</v>
      </c>
      <c r="P2">
        <f>M2</f>
        <v>1367.5691393066634</v>
      </c>
      <c r="Q2">
        <f>0</f>
        <v>0</v>
      </c>
    </row>
    <row r="3" spans="1:17">
      <c r="A3">
        <v>1</v>
      </c>
      <c r="B3">
        <v>91244</v>
      </c>
      <c r="D3">
        <f>Varicella!B3</f>
        <v>2342</v>
      </c>
      <c r="E3">
        <f>Varicella!C3</f>
        <v>1700</v>
      </c>
      <c r="F3">
        <f>Varicella!D3</f>
        <v>1988</v>
      </c>
      <c r="G3">
        <f>Varicella!E3</f>
        <v>1662</v>
      </c>
      <c r="H3">
        <f>Varicella!F3</f>
        <v>2581</v>
      </c>
      <c r="I3">
        <f>Varicella!G3</f>
        <v>2473</v>
      </c>
      <c r="J3">
        <f>Varicella!H3</f>
        <v>1984</v>
      </c>
      <c r="K3">
        <v>2104.2857142857142</v>
      </c>
      <c r="L3">
        <v>3.052003827820492E-2</v>
      </c>
      <c r="M3">
        <f t="shared" ref="M3:M66" si="0">K3*(1+L$70*L3)</f>
        <v>2874.960280865072</v>
      </c>
      <c r="N3">
        <f>M3/B3</f>
        <v>3.1508485827726446E-2</v>
      </c>
      <c r="O3">
        <f>O2+N3</f>
        <v>4.7000104796287849E-2</v>
      </c>
      <c r="P3">
        <f>P2+M3</f>
        <v>4242.5294201717352</v>
      </c>
      <c r="Q3">
        <f>O2</f>
        <v>1.5491618968561402E-2</v>
      </c>
    </row>
    <row r="4" spans="1:17">
      <c r="A4">
        <v>2</v>
      </c>
      <c r="B4">
        <v>97905</v>
      </c>
      <c r="D4">
        <f>Varicella!B4</f>
        <v>3436</v>
      </c>
      <c r="E4">
        <f>Varicella!C4</f>
        <v>2639</v>
      </c>
      <c r="F4">
        <f>Varicella!D4</f>
        <v>2665</v>
      </c>
      <c r="G4">
        <f>Varicella!E4</f>
        <v>2308</v>
      </c>
      <c r="H4">
        <f>Varicella!F4</f>
        <v>3747</v>
      </c>
      <c r="I4">
        <f>Varicella!G4</f>
        <v>3210</v>
      </c>
      <c r="J4">
        <f>Varicella!H4</f>
        <v>2685</v>
      </c>
      <c r="K4">
        <v>2955.7142857142858</v>
      </c>
      <c r="L4">
        <v>9.156011483461475E-2</v>
      </c>
      <c r="M4">
        <f t="shared" si="0"/>
        <v>6203.2207587340217</v>
      </c>
      <c r="N4">
        <f>M4/B4</f>
        <v>6.3359591019192293E-2</v>
      </c>
      <c r="O4">
        <f t="shared" ref="O4:O67" si="1">O3+N4</f>
        <v>0.11035969581548014</v>
      </c>
      <c r="P4">
        <f t="shared" ref="P4:P67" si="2">P3+M4</f>
        <v>10445.750178905757</v>
      </c>
      <c r="Q4">
        <f t="shared" ref="Q4:Q67" si="3">O3</f>
        <v>4.7000104796287849E-2</v>
      </c>
    </row>
    <row r="5" spans="1:17">
      <c r="A5">
        <v>3</v>
      </c>
      <c r="B5">
        <v>99516</v>
      </c>
      <c r="D5">
        <f>Varicella!B5</f>
        <v>6657</v>
      </c>
      <c r="E5">
        <f>Varicella!C5</f>
        <v>5740</v>
      </c>
      <c r="F5">
        <f>Varicella!D5</f>
        <v>5792</v>
      </c>
      <c r="G5">
        <f>Varicella!E5</f>
        <v>4713</v>
      </c>
      <c r="H5">
        <f>Varicella!F5</f>
        <v>6992</v>
      </c>
      <c r="I5">
        <f>Varicella!G5</f>
        <v>6336</v>
      </c>
      <c r="J5">
        <f>Varicella!H5</f>
        <v>5282</v>
      </c>
      <c r="K5">
        <v>5930.2857142857147</v>
      </c>
      <c r="L5">
        <v>0.1700402132642844</v>
      </c>
      <c r="M5">
        <f t="shared" si="0"/>
        <v>18030.930285189097</v>
      </c>
      <c r="N5">
        <f>M5/B5</f>
        <v>0.18118624427417798</v>
      </c>
      <c r="O5">
        <f t="shared" si="1"/>
        <v>0.29154594008965812</v>
      </c>
      <c r="P5">
        <f t="shared" si="2"/>
        <v>28476.680464094854</v>
      </c>
      <c r="Q5">
        <f t="shared" si="3"/>
        <v>0.11035969581548014</v>
      </c>
    </row>
    <row r="6" spans="1:17">
      <c r="A6">
        <v>4</v>
      </c>
      <c r="B6">
        <v>98302</v>
      </c>
      <c r="D6">
        <f>Varicella!B6</f>
        <v>7244</v>
      </c>
      <c r="E6">
        <f>Varicella!C6</f>
        <v>6281</v>
      </c>
      <c r="F6">
        <f>Varicella!D6</f>
        <v>6387</v>
      </c>
      <c r="G6">
        <f>Varicella!E6</f>
        <v>5225</v>
      </c>
      <c r="H6">
        <f>Varicella!F6</f>
        <v>7376</v>
      </c>
      <c r="I6">
        <f>Varicella!G6</f>
        <v>6539</v>
      </c>
      <c r="J6">
        <f>Varicella!H6</f>
        <v>5779</v>
      </c>
      <c r="K6">
        <v>6404.4285714285716</v>
      </c>
      <c r="L6">
        <v>0.21862313133979486</v>
      </c>
      <c r="M6">
        <f t="shared" si="0"/>
        <v>23206.303316161731</v>
      </c>
      <c r="N6">
        <f>M6/B6</f>
        <v>0.23607152770199721</v>
      </c>
      <c r="O6">
        <f t="shared" si="1"/>
        <v>0.5276174677916553</v>
      </c>
      <c r="P6">
        <f t="shared" si="2"/>
        <v>51682.983780256589</v>
      </c>
      <c r="Q6">
        <f t="shared" si="3"/>
        <v>0.29154594008965812</v>
      </c>
    </row>
    <row r="7" spans="1:17">
      <c r="A7">
        <v>5</v>
      </c>
      <c r="B7">
        <v>100143</v>
      </c>
      <c r="D7">
        <f>Varicella!B7</f>
        <v>6077</v>
      </c>
      <c r="E7">
        <f>Varicella!C7</f>
        <v>5140</v>
      </c>
      <c r="F7">
        <f>Varicella!D7</f>
        <v>5234</v>
      </c>
      <c r="G7">
        <f>Varicella!E7</f>
        <v>4560</v>
      </c>
      <c r="H7">
        <f>Varicella!F7</f>
        <v>6539</v>
      </c>
      <c r="I7">
        <f>Varicella!G7</f>
        <v>5405</v>
      </c>
      <c r="J7">
        <f>Varicella!H7</f>
        <v>4743</v>
      </c>
      <c r="K7">
        <v>5385.4285714285716</v>
      </c>
      <c r="L7">
        <v>0.20613038097752076</v>
      </c>
      <c r="M7">
        <f t="shared" si="0"/>
        <v>18706.633889298133</v>
      </c>
      <c r="N7">
        <f>M7/B7</f>
        <v>0.1867992160140812</v>
      </c>
      <c r="O7">
        <f t="shared" si="1"/>
        <v>0.71441668380573653</v>
      </c>
      <c r="P7">
        <f t="shared" si="2"/>
        <v>70389.617669554718</v>
      </c>
      <c r="Q7">
        <f t="shared" si="3"/>
        <v>0.5276174677916553</v>
      </c>
    </row>
    <row r="8" spans="1:17">
      <c r="A8">
        <v>6</v>
      </c>
      <c r="B8">
        <v>97778</v>
      </c>
      <c r="D8">
        <f>Varicella!B8</f>
        <v>4132</v>
      </c>
      <c r="E8">
        <f>Varicella!C8</f>
        <v>3516</v>
      </c>
      <c r="F8">
        <f>Varicella!D8</f>
        <v>3790</v>
      </c>
      <c r="G8">
        <f>Varicella!E8</f>
        <v>3200</v>
      </c>
      <c r="H8">
        <f>Varicella!F8</f>
        <v>4523</v>
      </c>
      <c r="I8">
        <f>Varicella!G8</f>
        <v>4056</v>
      </c>
      <c r="J8">
        <f>Varicella!H8</f>
        <v>3460</v>
      </c>
      <c r="K8">
        <v>3811</v>
      </c>
      <c r="L8">
        <v>0.14723598641251517</v>
      </c>
      <c r="M8">
        <f t="shared" si="0"/>
        <v>10544.396130617142</v>
      </c>
      <c r="N8">
        <f>M8/B8</f>
        <v>0.1078401698809256</v>
      </c>
      <c r="O8">
        <f t="shared" si="1"/>
        <v>0.82225685368666213</v>
      </c>
      <c r="P8">
        <f t="shared" si="2"/>
        <v>80934.013800171859</v>
      </c>
      <c r="Q8">
        <f t="shared" si="3"/>
        <v>0.71441668380573653</v>
      </c>
    </row>
    <row r="9" spans="1:17">
      <c r="A9">
        <v>7</v>
      </c>
      <c r="B9">
        <v>93238</v>
      </c>
      <c r="D9">
        <f>Varicella!B9</f>
        <v>2362</v>
      </c>
      <c r="E9">
        <f>Varicella!C9</f>
        <v>1972</v>
      </c>
      <c r="F9">
        <f>Varicella!D9</f>
        <v>2125</v>
      </c>
      <c r="G9">
        <f>Varicella!E9</f>
        <v>1808</v>
      </c>
      <c r="H9">
        <f>Varicella!F9</f>
        <v>2551</v>
      </c>
      <c r="I9">
        <f>Varicella!G9</f>
        <v>2332</v>
      </c>
      <c r="J9">
        <f>Varicella!H9</f>
        <v>2147</v>
      </c>
      <c r="K9">
        <v>2185.2857142857142</v>
      </c>
      <c r="L9">
        <v>8.1130033329344861E-2</v>
      </c>
      <c r="M9">
        <f t="shared" si="0"/>
        <v>4312.7933482954086</v>
      </c>
      <c r="N9">
        <f>M9/B9</f>
        <v>4.6255747101990694E-2</v>
      </c>
      <c r="O9">
        <f t="shared" si="1"/>
        <v>0.86851260078865278</v>
      </c>
      <c r="P9">
        <f t="shared" si="2"/>
        <v>85246.807148467269</v>
      </c>
      <c r="Q9">
        <f t="shared" si="3"/>
        <v>0.82225685368666213</v>
      </c>
    </row>
    <row r="10" spans="1:17">
      <c r="A10">
        <v>8</v>
      </c>
      <c r="B10">
        <v>95609</v>
      </c>
      <c r="D10">
        <f>Varicella!B10</f>
        <v>1581</v>
      </c>
      <c r="E10">
        <f>Varicella!C10</f>
        <v>1363</v>
      </c>
      <c r="F10">
        <f>Varicella!D10</f>
        <v>1268</v>
      </c>
      <c r="G10">
        <f>Varicella!E10</f>
        <v>1068</v>
      </c>
      <c r="H10">
        <f>Varicella!F10</f>
        <v>1609</v>
      </c>
      <c r="I10">
        <f>Varicella!G10</f>
        <v>1564</v>
      </c>
      <c r="J10">
        <f>Varicella!H10</f>
        <v>1657</v>
      </c>
      <c r="K10">
        <v>1444.2857142857142</v>
      </c>
      <c r="L10">
        <v>3.477001428400496E-2</v>
      </c>
      <c r="M10">
        <f t="shared" si="0"/>
        <v>2046.8997332764973</v>
      </c>
      <c r="N10">
        <f>M10/B10</f>
        <v>2.1409069577931965E-2</v>
      </c>
      <c r="O10">
        <f t="shared" si="1"/>
        <v>0.88992167036658476</v>
      </c>
      <c r="P10">
        <f t="shared" si="2"/>
        <v>87293.706881743768</v>
      </c>
      <c r="Q10">
        <f t="shared" si="3"/>
        <v>0.86851260078865278</v>
      </c>
    </row>
    <row r="11" spans="1:17">
      <c r="A11">
        <v>9</v>
      </c>
      <c r="B11">
        <v>95578</v>
      </c>
      <c r="D11">
        <f>Varicella!B11</f>
        <v>1198</v>
      </c>
      <c r="E11">
        <f>Varicella!C11</f>
        <v>804</v>
      </c>
      <c r="F11">
        <f>Varicella!D11</f>
        <v>890</v>
      </c>
      <c r="G11">
        <f>Varicella!E11</f>
        <v>647</v>
      </c>
      <c r="H11">
        <f>Varicella!F11</f>
        <v>1038</v>
      </c>
      <c r="I11">
        <f>Varicella!G11</f>
        <v>1068</v>
      </c>
      <c r="J11">
        <f>Varicella!H11</f>
        <v>1043</v>
      </c>
      <c r="K11">
        <v>955.42857142857144</v>
      </c>
      <c r="L11">
        <v>1.1590004761335005E-2</v>
      </c>
      <c r="M11">
        <f t="shared" si="0"/>
        <v>1088.3096317322431</v>
      </c>
      <c r="N11">
        <f>M11/B11</f>
        <v>1.1386612313840456E-2</v>
      </c>
      <c r="O11">
        <f t="shared" si="1"/>
        <v>0.90130828268042518</v>
      </c>
      <c r="P11">
        <f t="shared" si="2"/>
        <v>88382.016513476017</v>
      </c>
      <c r="Q11">
        <f t="shared" si="3"/>
        <v>0.88992167036658476</v>
      </c>
    </row>
    <row r="12" spans="1:17">
      <c r="A12">
        <v>10</v>
      </c>
      <c r="B12">
        <v>98251</v>
      </c>
      <c r="D12">
        <f>Varicella!B12</f>
        <v>754</v>
      </c>
      <c r="E12">
        <f>Varicella!C12</f>
        <v>608</v>
      </c>
      <c r="F12">
        <f>Varicella!D12</f>
        <v>638</v>
      </c>
      <c r="G12">
        <f>Varicella!E12</f>
        <v>520</v>
      </c>
      <c r="H12">
        <f>Varicella!F12</f>
        <v>692</v>
      </c>
      <c r="I12">
        <f>Varicella!G12</f>
        <v>761</v>
      </c>
      <c r="J12">
        <f>Varicella!H12</f>
        <v>755</v>
      </c>
      <c r="K12">
        <v>675.42857142857144</v>
      </c>
      <c r="L12">
        <v>2.9802869386289944E-3</v>
      </c>
      <c r="M12">
        <f t="shared" si="0"/>
        <v>699.58422282143636</v>
      </c>
      <c r="N12">
        <f>M12/B12</f>
        <v>7.1203776330158097E-3</v>
      </c>
      <c r="O12">
        <f t="shared" si="1"/>
        <v>0.90842866031344094</v>
      </c>
      <c r="P12">
        <f t="shared" si="2"/>
        <v>89081.600736297449</v>
      </c>
      <c r="Q12">
        <f t="shared" si="3"/>
        <v>0.90130828268042518</v>
      </c>
    </row>
    <row r="13" spans="1:17">
      <c r="A13">
        <v>11</v>
      </c>
      <c r="B13">
        <v>95802</v>
      </c>
      <c r="D13">
        <f>Varicella!B13</f>
        <v>553</v>
      </c>
      <c r="E13">
        <f>Varicella!C13</f>
        <v>496</v>
      </c>
      <c r="F13">
        <f>Varicella!D13</f>
        <v>510</v>
      </c>
      <c r="G13">
        <f>Varicella!E13</f>
        <v>350</v>
      </c>
      <c r="H13">
        <f>Varicella!F13</f>
        <v>460</v>
      </c>
      <c r="I13">
        <f>Varicella!G13</f>
        <v>535</v>
      </c>
      <c r="J13">
        <f>Varicella!H13</f>
        <v>482</v>
      </c>
      <c r="K13">
        <v>483.71428571428572</v>
      </c>
      <c r="L13">
        <v>5.8057537765499956E-4</v>
      </c>
      <c r="M13">
        <f t="shared" si="0"/>
        <v>487.08427696355398</v>
      </c>
      <c r="N13">
        <f>M13/B13</f>
        <v>5.0842808810207928E-3</v>
      </c>
      <c r="O13">
        <f t="shared" si="1"/>
        <v>0.91351294119446169</v>
      </c>
      <c r="P13">
        <f t="shared" si="2"/>
        <v>89568.685013260998</v>
      </c>
      <c r="Q13">
        <f t="shared" si="3"/>
        <v>0.90842866031344094</v>
      </c>
    </row>
    <row r="14" spans="1:17">
      <c r="A14">
        <v>12</v>
      </c>
      <c r="B14">
        <v>94455</v>
      </c>
      <c r="D14">
        <f>Varicella!B14</f>
        <v>448</v>
      </c>
      <c r="E14">
        <f>Varicella!C14</f>
        <v>341</v>
      </c>
      <c r="F14">
        <f>Varicella!D14</f>
        <v>392</v>
      </c>
      <c r="G14">
        <f>Varicella!E14</f>
        <v>287</v>
      </c>
      <c r="H14">
        <f>Varicella!F14</f>
        <v>361</v>
      </c>
      <c r="I14">
        <f>Varicella!G14</f>
        <v>392</v>
      </c>
      <c r="J14">
        <f>Varicella!H14</f>
        <v>388</v>
      </c>
      <c r="K14">
        <v>372.71428571428572</v>
      </c>
      <c r="L14">
        <v>8.2939339664999767E-5</v>
      </c>
      <c r="M14">
        <f t="shared" si="0"/>
        <v>373.08523783517597</v>
      </c>
      <c r="N14">
        <f>M14/B14</f>
        <v>3.9498728265859508E-3</v>
      </c>
      <c r="O14">
        <f t="shared" si="1"/>
        <v>0.91746281402104768</v>
      </c>
      <c r="P14">
        <f t="shared" si="2"/>
        <v>89941.770251096168</v>
      </c>
      <c r="Q14">
        <f t="shared" si="3"/>
        <v>0.91351294119446169</v>
      </c>
    </row>
    <row r="15" spans="1:17">
      <c r="A15">
        <v>13</v>
      </c>
      <c r="B15">
        <v>98209</v>
      </c>
      <c r="D15">
        <f>Varicella!B15</f>
        <v>385</v>
      </c>
      <c r="E15">
        <f>Varicella!C15</f>
        <v>293</v>
      </c>
      <c r="F15">
        <f>Varicella!D15</f>
        <v>248</v>
      </c>
      <c r="G15">
        <f>Varicella!E15</f>
        <v>248</v>
      </c>
      <c r="H15">
        <f>Varicella!F15</f>
        <v>266</v>
      </c>
      <c r="I15">
        <f>Varicella!G15</f>
        <v>286</v>
      </c>
      <c r="J15">
        <f>Varicella!H15</f>
        <v>307</v>
      </c>
      <c r="K15">
        <v>290.42857142857144</v>
      </c>
      <c r="L15">
        <v>8.2027918349999998E-6</v>
      </c>
      <c r="M15">
        <f t="shared" si="0"/>
        <v>290.45715932994381</v>
      </c>
      <c r="N15">
        <f>M15/B15</f>
        <v>2.957541155392518E-3</v>
      </c>
      <c r="O15">
        <f t="shared" si="1"/>
        <v>0.92042035517644016</v>
      </c>
      <c r="P15">
        <f t="shared" si="2"/>
        <v>90232.227410426116</v>
      </c>
      <c r="Q15">
        <f t="shared" si="3"/>
        <v>0.91746281402104768</v>
      </c>
    </row>
    <row r="16" spans="1:17">
      <c r="A16">
        <v>14</v>
      </c>
      <c r="B16">
        <v>103351</v>
      </c>
      <c r="D16">
        <f>Varicella!B16</f>
        <v>318</v>
      </c>
      <c r="E16">
        <f>Varicella!C16</f>
        <v>233</v>
      </c>
      <c r="F16">
        <f>Varicella!D16</f>
        <v>223</v>
      </c>
      <c r="G16">
        <f>Varicella!E16</f>
        <v>185</v>
      </c>
      <c r="H16">
        <f>Varicella!F16</f>
        <v>203</v>
      </c>
      <c r="I16">
        <f>Varicella!G16</f>
        <v>253</v>
      </c>
      <c r="J16">
        <f>Varicella!H16</f>
        <v>243</v>
      </c>
      <c r="K16">
        <v>236.85714285714286</v>
      </c>
      <c r="L16">
        <v>5.0221174499999775E-7</v>
      </c>
      <c r="M16">
        <f t="shared" si="0"/>
        <v>236.85857028641124</v>
      </c>
      <c r="N16">
        <f>M16/B16</f>
        <v>2.2917878906484816E-3</v>
      </c>
      <c r="O16">
        <f t="shared" si="1"/>
        <v>0.9227121430670886</v>
      </c>
      <c r="P16">
        <f t="shared" si="2"/>
        <v>90469.085980712523</v>
      </c>
      <c r="Q16">
        <f t="shared" si="3"/>
        <v>0.92042035517644016</v>
      </c>
    </row>
    <row r="17" spans="1:17">
      <c r="A17">
        <v>15</v>
      </c>
      <c r="B17">
        <v>112446</v>
      </c>
      <c r="D17">
        <f>Varicella!B$22/5</f>
        <v>129.6</v>
      </c>
      <c r="E17">
        <f>Varicella!C$22/5</f>
        <v>91.6</v>
      </c>
      <c r="F17">
        <f>Varicella!D$22/5</f>
        <v>96.6</v>
      </c>
      <c r="G17">
        <f>Varicella!E$22/5</f>
        <v>87</v>
      </c>
      <c r="H17">
        <f>Varicella!F$22/5</f>
        <v>93.8</v>
      </c>
      <c r="I17">
        <f>Varicella!G$22/5</f>
        <v>94.4</v>
      </c>
      <c r="J17">
        <f>Varicella!H$22/5</f>
        <v>95</v>
      </c>
      <c r="K17">
        <v>98.285714285714292</v>
      </c>
      <c r="L17">
        <v>1.434890699999997E-8</v>
      </c>
      <c r="M17">
        <f t="shared" si="0"/>
        <v>98.28573120922519</v>
      </c>
      <c r="N17">
        <f>M17/B17</f>
        <v>8.7407049792100381E-4</v>
      </c>
      <c r="O17">
        <f t="shared" si="1"/>
        <v>0.92358621356500958</v>
      </c>
      <c r="P17">
        <f t="shared" si="2"/>
        <v>90567.371711921747</v>
      </c>
      <c r="Q17">
        <f t="shared" si="3"/>
        <v>0.9227121430670886</v>
      </c>
    </row>
    <row r="18" spans="1:17">
      <c r="A18">
        <v>16</v>
      </c>
      <c r="B18">
        <v>114846</v>
      </c>
      <c r="D18">
        <f>Varicella!B$22/5</f>
        <v>129.6</v>
      </c>
      <c r="E18">
        <f>Varicella!C$22/5</f>
        <v>91.6</v>
      </c>
      <c r="F18">
        <f>Varicella!D$22/5</f>
        <v>96.6</v>
      </c>
      <c r="G18">
        <f>Varicella!E$22/5</f>
        <v>87</v>
      </c>
      <c r="H18">
        <f>Varicella!F$22/5</f>
        <v>93.8</v>
      </c>
      <c r="I18">
        <f>Varicella!G$22/5</f>
        <v>94.4</v>
      </c>
      <c r="J18">
        <f>Varicella!H$22/5</f>
        <v>95</v>
      </c>
      <c r="K18">
        <v>98.285714285714292</v>
      </c>
      <c r="L18">
        <v>0</v>
      </c>
      <c r="M18">
        <f t="shared" si="0"/>
        <v>98.285714285714292</v>
      </c>
      <c r="N18">
        <f>M18/B18</f>
        <v>8.5580441883665334E-4</v>
      </c>
      <c r="O18">
        <f t="shared" si="1"/>
        <v>0.92444201798384629</v>
      </c>
      <c r="P18">
        <f t="shared" si="2"/>
        <v>90665.657426207457</v>
      </c>
      <c r="Q18">
        <f t="shared" si="3"/>
        <v>0.92358621356500958</v>
      </c>
    </row>
    <row r="19" spans="1:17">
      <c r="A19">
        <v>17</v>
      </c>
      <c r="B19">
        <v>120012</v>
      </c>
      <c r="D19">
        <f>Varicella!B$22/5</f>
        <v>129.6</v>
      </c>
      <c r="E19">
        <f>Varicella!C$22/5</f>
        <v>91.6</v>
      </c>
      <c r="F19">
        <f>Varicella!D$22/5</f>
        <v>96.6</v>
      </c>
      <c r="G19">
        <f>Varicella!E$22/5</f>
        <v>87</v>
      </c>
      <c r="H19">
        <f>Varicella!F$22/5</f>
        <v>93.8</v>
      </c>
      <c r="I19">
        <f>Varicella!G$22/5</f>
        <v>94.4</v>
      </c>
      <c r="J19">
        <f>Varicella!H$22/5</f>
        <v>95</v>
      </c>
      <c r="K19">
        <v>98.285714285714292</v>
      </c>
      <c r="L19">
        <v>0</v>
      </c>
      <c r="M19">
        <f t="shared" si="0"/>
        <v>98.285714285714292</v>
      </c>
      <c r="N19">
        <f>M19/B19</f>
        <v>8.1896572247537158E-4</v>
      </c>
      <c r="O19">
        <f t="shared" si="1"/>
        <v>0.9252609837063217</v>
      </c>
      <c r="P19">
        <f t="shared" si="2"/>
        <v>90763.943140493167</v>
      </c>
      <c r="Q19">
        <f t="shared" si="3"/>
        <v>0.92444201798384629</v>
      </c>
    </row>
    <row r="20" spans="1:17">
      <c r="A20">
        <v>18</v>
      </c>
      <c r="B20">
        <v>120532</v>
      </c>
      <c r="D20">
        <f>Varicella!B$22/5</f>
        <v>129.6</v>
      </c>
      <c r="E20">
        <f>Varicella!C$22/5</f>
        <v>91.6</v>
      </c>
      <c r="F20">
        <f>Varicella!D$22/5</f>
        <v>96.6</v>
      </c>
      <c r="G20">
        <f>Varicella!E$22/5</f>
        <v>87</v>
      </c>
      <c r="H20">
        <f>Varicella!F$22/5</f>
        <v>93.8</v>
      </c>
      <c r="I20">
        <f>Varicella!G$22/5</f>
        <v>94.4</v>
      </c>
      <c r="J20">
        <f>Varicella!H$22/5</f>
        <v>95</v>
      </c>
      <c r="K20">
        <v>98.285714285714292</v>
      </c>
      <c r="L20">
        <v>0</v>
      </c>
      <c r="M20">
        <f t="shared" si="0"/>
        <v>98.285714285714292</v>
      </c>
      <c r="N20">
        <f>M20/B20</f>
        <v>8.1543253480996156E-4</v>
      </c>
      <c r="O20">
        <f t="shared" si="1"/>
        <v>0.92607641624113168</v>
      </c>
      <c r="P20">
        <f t="shared" si="2"/>
        <v>90862.228854778878</v>
      </c>
      <c r="Q20">
        <f t="shared" si="3"/>
        <v>0.9252609837063217</v>
      </c>
    </row>
    <row r="21" spans="1:17">
      <c r="A21">
        <v>19</v>
      </c>
      <c r="B21">
        <v>125698</v>
      </c>
      <c r="D21">
        <f>Varicella!B$22/5</f>
        <v>129.6</v>
      </c>
      <c r="E21">
        <f>Varicella!C$22/5</f>
        <v>91.6</v>
      </c>
      <c r="F21">
        <f>Varicella!D$22/5</f>
        <v>96.6</v>
      </c>
      <c r="G21">
        <f>Varicella!E$22/5</f>
        <v>87</v>
      </c>
      <c r="H21">
        <f>Varicella!F$22/5</f>
        <v>93.8</v>
      </c>
      <c r="I21">
        <f>Varicella!G$22/5</f>
        <v>94.4</v>
      </c>
      <c r="J21">
        <f>Varicella!H$22/5</f>
        <v>95</v>
      </c>
      <c r="K21">
        <v>98.285714285714292</v>
      </c>
      <c r="L21">
        <v>0</v>
      </c>
      <c r="M21">
        <f t="shared" si="0"/>
        <v>98.285714285714292</v>
      </c>
      <c r="N21">
        <f>M21/B21</f>
        <v>7.8191947593210943E-4</v>
      </c>
      <c r="O21">
        <f t="shared" si="1"/>
        <v>0.92685833571706377</v>
      </c>
      <c r="P21">
        <f t="shared" si="2"/>
        <v>90960.514569064588</v>
      </c>
      <c r="Q21">
        <f t="shared" si="3"/>
        <v>0.92607641624113168</v>
      </c>
    </row>
    <row r="22" spans="1:17">
      <c r="A22">
        <v>20</v>
      </c>
      <c r="B22">
        <v>129024</v>
      </c>
      <c r="D22">
        <f>Varicella!B$23/10</f>
        <v>38.4</v>
      </c>
      <c r="E22">
        <f>Varicella!C$23/10</f>
        <v>28.6</v>
      </c>
      <c r="F22">
        <f>Varicella!D$23/10</f>
        <v>29.6</v>
      </c>
      <c r="G22">
        <f>Varicella!E$23/10</f>
        <v>26.1</v>
      </c>
      <c r="H22">
        <f>Varicella!F$23/10</f>
        <v>26.6</v>
      </c>
      <c r="I22">
        <f>Varicella!G$23/10</f>
        <v>26.9</v>
      </c>
      <c r="J22">
        <f>Varicella!H$23/10</f>
        <v>27.2</v>
      </c>
      <c r="K22">
        <v>29.057142857142853</v>
      </c>
      <c r="L22">
        <v>0</v>
      </c>
      <c r="M22">
        <f t="shared" si="0"/>
        <v>29.057142857142853</v>
      </c>
      <c r="N22">
        <f>M22/B22</f>
        <v>2.2520727040816323E-4</v>
      </c>
      <c r="O22">
        <f t="shared" si="1"/>
        <v>0.92708354298747198</v>
      </c>
      <c r="P22">
        <f t="shared" si="2"/>
        <v>90989.57171192173</v>
      </c>
      <c r="Q22">
        <f t="shared" si="3"/>
        <v>0.92685833571706377</v>
      </c>
    </row>
    <row r="23" spans="1:17">
      <c r="A23">
        <v>21</v>
      </c>
      <c r="B23">
        <v>125092</v>
      </c>
      <c r="D23">
        <f>Varicella!B$23/10</f>
        <v>38.4</v>
      </c>
      <c r="E23">
        <f>Varicella!C$23/10</f>
        <v>28.6</v>
      </c>
      <c r="F23">
        <f>Varicella!D$23/10</f>
        <v>29.6</v>
      </c>
      <c r="G23">
        <f>Varicella!E$23/10</f>
        <v>26.1</v>
      </c>
      <c r="H23">
        <f>Varicella!F$23/10</f>
        <v>26.6</v>
      </c>
      <c r="I23">
        <f>Varicella!G$23/10</f>
        <v>26.9</v>
      </c>
      <c r="J23">
        <f>Varicella!H$23/10</f>
        <v>27.2</v>
      </c>
      <c r="K23">
        <v>29.057142857142853</v>
      </c>
      <c r="L23">
        <v>0</v>
      </c>
      <c r="M23">
        <f t="shared" si="0"/>
        <v>29.057142857142853</v>
      </c>
      <c r="N23">
        <f>M23/B23</f>
        <v>2.3228618022849465E-4</v>
      </c>
      <c r="O23">
        <f t="shared" si="1"/>
        <v>0.9273158291677005</v>
      </c>
      <c r="P23">
        <f t="shared" si="2"/>
        <v>91018.628854778872</v>
      </c>
      <c r="Q23">
        <f t="shared" si="3"/>
        <v>0.92708354298747198</v>
      </c>
    </row>
    <row r="24" spans="1:17">
      <c r="A24">
        <v>22</v>
      </c>
      <c r="B24">
        <v>122247</v>
      </c>
      <c r="D24">
        <f>Varicella!B$23/10</f>
        <v>38.4</v>
      </c>
      <c r="E24">
        <f>Varicella!C$23/10</f>
        <v>28.6</v>
      </c>
      <c r="F24">
        <f>Varicella!D$23/10</f>
        <v>29.6</v>
      </c>
      <c r="G24">
        <f>Varicella!E$23/10</f>
        <v>26.1</v>
      </c>
      <c r="H24">
        <f>Varicella!F$23/10</f>
        <v>26.6</v>
      </c>
      <c r="I24">
        <f>Varicella!G$23/10</f>
        <v>26.9</v>
      </c>
      <c r="J24">
        <f>Varicella!H$23/10</f>
        <v>27.2</v>
      </c>
      <c r="K24">
        <v>29.057142857142853</v>
      </c>
      <c r="L24">
        <v>0</v>
      </c>
      <c r="M24">
        <f t="shared" si="0"/>
        <v>29.057142857142853</v>
      </c>
      <c r="N24">
        <f>M24/B24</f>
        <v>2.3769207307453643E-4</v>
      </c>
      <c r="O24">
        <f t="shared" si="1"/>
        <v>0.92755352124077506</v>
      </c>
      <c r="P24">
        <f t="shared" si="2"/>
        <v>91047.685997636014</v>
      </c>
      <c r="Q24">
        <f t="shared" si="3"/>
        <v>0.9273158291677005</v>
      </c>
    </row>
    <row r="25" spans="1:17">
      <c r="A25">
        <v>23</v>
      </c>
      <c r="B25">
        <v>121139</v>
      </c>
      <c r="D25">
        <f>Varicella!B$23/10</f>
        <v>38.4</v>
      </c>
      <c r="E25">
        <f>Varicella!C$23/10</f>
        <v>28.6</v>
      </c>
      <c r="F25">
        <f>Varicella!D$23/10</f>
        <v>29.6</v>
      </c>
      <c r="G25">
        <f>Varicella!E$23/10</f>
        <v>26.1</v>
      </c>
      <c r="H25">
        <f>Varicella!F$23/10</f>
        <v>26.6</v>
      </c>
      <c r="I25">
        <f>Varicella!G$23/10</f>
        <v>26.9</v>
      </c>
      <c r="J25">
        <f>Varicella!H$23/10</f>
        <v>27.2</v>
      </c>
      <c r="K25">
        <v>29.057142857142853</v>
      </c>
      <c r="L25">
        <v>0</v>
      </c>
      <c r="M25">
        <f t="shared" si="0"/>
        <v>29.057142857142853</v>
      </c>
      <c r="N25">
        <f>M25/B25</f>
        <v>2.3986612781303176E-4</v>
      </c>
      <c r="O25">
        <f t="shared" si="1"/>
        <v>0.92779338736858807</v>
      </c>
      <c r="P25">
        <f t="shared" si="2"/>
        <v>91076.743140493156</v>
      </c>
      <c r="Q25">
        <f t="shared" si="3"/>
        <v>0.92755352124077506</v>
      </c>
    </row>
    <row r="26" spans="1:17">
      <c r="A26">
        <v>24</v>
      </c>
      <c r="B26">
        <v>120733</v>
      </c>
      <c r="D26">
        <f>Varicella!B$23/10</f>
        <v>38.4</v>
      </c>
      <c r="E26">
        <f>Varicella!C$23/10</f>
        <v>28.6</v>
      </c>
      <c r="F26">
        <f>Varicella!D$23/10</f>
        <v>29.6</v>
      </c>
      <c r="G26">
        <f>Varicella!E$23/10</f>
        <v>26.1</v>
      </c>
      <c r="H26">
        <f>Varicella!F$23/10</f>
        <v>26.6</v>
      </c>
      <c r="I26">
        <f>Varicella!G$23/10</f>
        <v>26.9</v>
      </c>
      <c r="J26">
        <f>Varicella!H$23/10</f>
        <v>27.2</v>
      </c>
      <c r="K26">
        <v>29.057142857142853</v>
      </c>
      <c r="L26">
        <v>0</v>
      </c>
      <c r="M26">
        <f t="shared" si="0"/>
        <v>29.057142857142853</v>
      </c>
      <c r="N26">
        <f>M26/B26</f>
        <v>2.4067274777519695E-4</v>
      </c>
      <c r="O26">
        <f t="shared" si="1"/>
        <v>0.92803406011636325</v>
      </c>
      <c r="P26">
        <f t="shared" si="2"/>
        <v>91105.800283350298</v>
      </c>
      <c r="Q26">
        <f t="shared" si="3"/>
        <v>0.92779338736858807</v>
      </c>
    </row>
    <row r="27" spans="1:17">
      <c r="A27">
        <v>25</v>
      </c>
      <c r="B27">
        <v>123054</v>
      </c>
      <c r="D27">
        <f>Varicella!B$23/10</f>
        <v>38.4</v>
      </c>
      <c r="E27">
        <f>Varicella!C$23/10</f>
        <v>28.6</v>
      </c>
      <c r="F27">
        <f>Varicella!D$23/10</f>
        <v>29.6</v>
      </c>
      <c r="G27">
        <f>Varicella!E$23/10</f>
        <v>26.1</v>
      </c>
      <c r="H27">
        <f>Varicella!F$23/10</f>
        <v>26.6</v>
      </c>
      <c r="I27">
        <f>Varicella!G$23/10</f>
        <v>26.9</v>
      </c>
      <c r="J27">
        <f>Varicella!H$23/10</f>
        <v>27.2</v>
      </c>
      <c r="K27">
        <v>29.057142857142853</v>
      </c>
      <c r="L27">
        <v>0</v>
      </c>
      <c r="M27">
        <f t="shared" si="0"/>
        <v>29.057142857142853</v>
      </c>
      <c r="N27">
        <f>M27/B27</f>
        <v>2.3613326553499159E-4</v>
      </c>
      <c r="O27">
        <f t="shared" si="1"/>
        <v>0.9282701933818982</v>
      </c>
      <c r="P27">
        <f t="shared" si="2"/>
        <v>91134.85742620744</v>
      </c>
      <c r="Q27">
        <f t="shared" si="3"/>
        <v>0.92803406011636325</v>
      </c>
    </row>
    <row r="28" spans="1:17">
      <c r="A28">
        <v>26</v>
      </c>
      <c r="B28">
        <v>121455</v>
      </c>
      <c r="D28">
        <f>Varicella!B$23/10</f>
        <v>38.4</v>
      </c>
      <c r="E28">
        <f>Varicella!C$23/10</f>
        <v>28.6</v>
      </c>
      <c r="F28">
        <f>Varicella!D$23/10</f>
        <v>29.6</v>
      </c>
      <c r="G28">
        <f>Varicella!E$23/10</f>
        <v>26.1</v>
      </c>
      <c r="H28">
        <f>Varicella!F$23/10</f>
        <v>26.6</v>
      </c>
      <c r="I28">
        <f>Varicella!G$23/10</f>
        <v>26.9</v>
      </c>
      <c r="J28">
        <f>Varicella!H$23/10</f>
        <v>27.2</v>
      </c>
      <c r="K28">
        <v>29.057142857142853</v>
      </c>
      <c r="L28">
        <v>0</v>
      </c>
      <c r="M28">
        <f t="shared" si="0"/>
        <v>29.057142857142853</v>
      </c>
      <c r="N28">
        <f>M28/B28</f>
        <v>2.3924204731911287E-4</v>
      </c>
      <c r="O28">
        <f t="shared" si="1"/>
        <v>0.92850943542921727</v>
      </c>
      <c r="P28">
        <f t="shared" si="2"/>
        <v>91163.914569064582</v>
      </c>
      <c r="Q28">
        <f t="shared" si="3"/>
        <v>0.9282701933818982</v>
      </c>
    </row>
    <row r="29" spans="1:17">
      <c r="A29">
        <v>27</v>
      </c>
      <c r="B29">
        <v>117711</v>
      </c>
      <c r="D29">
        <f>Varicella!B$23/10</f>
        <v>38.4</v>
      </c>
      <c r="E29">
        <f>Varicella!C$23/10</f>
        <v>28.6</v>
      </c>
      <c r="F29">
        <f>Varicella!D$23/10</f>
        <v>29.6</v>
      </c>
      <c r="G29">
        <f>Varicella!E$23/10</f>
        <v>26.1</v>
      </c>
      <c r="H29">
        <f>Varicella!F$23/10</f>
        <v>26.6</v>
      </c>
      <c r="I29">
        <f>Varicella!G$23/10</f>
        <v>26.9</v>
      </c>
      <c r="J29">
        <f>Varicella!H$23/10</f>
        <v>27.2</v>
      </c>
      <c r="K29">
        <v>29.057142857142853</v>
      </c>
      <c r="L29">
        <v>0</v>
      </c>
      <c r="M29">
        <f t="shared" si="0"/>
        <v>29.057142857142853</v>
      </c>
      <c r="N29">
        <f>M29/B29</f>
        <v>2.468515504680349E-4</v>
      </c>
      <c r="O29">
        <f t="shared" si="1"/>
        <v>0.92875628697968526</v>
      </c>
      <c r="P29">
        <f t="shared" si="2"/>
        <v>91192.971711921724</v>
      </c>
      <c r="Q29">
        <f t="shared" si="3"/>
        <v>0.92850943542921727</v>
      </c>
    </row>
    <row r="30" spans="1:17">
      <c r="A30">
        <v>28</v>
      </c>
      <c r="B30">
        <v>121151</v>
      </c>
      <c r="D30">
        <f>Varicella!B$23/10</f>
        <v>38.4</v>
      </c>
      <c r="E30">
        <f>Varicella!C$23/10</f>
        <v>28.6</v>
      </c>
      <c r="F30">
        <f>Varicella!D$23/10</f>
        <v>29.6</v>
      </c>
      <c r="G30">
        <f>Varicella!E$23/10</f>
        <v>26.1</v>
      </c>
      <c r="H30">
        <f>Varicella!F$23/10</f>
        <v>26.6</v>
      </c>
      <c r="I30">
        <f>Varicella!G$23/10</f>
        <v>26.9</v>
      </c>
      <c r="J30">
        <f>Varicella!H$23/10</f>
        <v>27.2</v>
      </c>
      <c r="K30">
        <v>29.057142857142853</v>
      </c>
      <c r="L30">
        <v>0</v>
      </c>
      <c r="M30">
        <f t="shared" si="0"/>
        <v>29.057142857142853</v>
      </c>
      <c r="N30">
        <f>M30/B30</f>
        <v>2.3984236908604017E-4</v>
      </c>
      <c r="O30">
        <f t="shared" si="1"/>
        <v>0.92899612934877129</v>
      </c>
      <c r="P30">
        <f t="shared" si="2"/>
        <v>91222.028854778866</v>
      </c>
      <c r="Q30">
        <f t="shared" si="3"/>
        <v>0.92875628697968526</v>
      </c>
    </row>
    <row r="31" spans="1:17">
      <c r="A31">
        <v>29</v>
      </c>
      <c r="B31">
        <v>127930</v>
      </c>
      <c r="D31">
        <f>Varicella!B$23/10</f>
        <v>38.4</v>
      </c>
      <c r="E31">
        <f>Varicella!C$23/10</f>
        <v>28.6</v>
      </c>
      <c r="F31">
        <f>Varicella!D$23/10</f>
        <v>29.6</v>
      </c>
      <c r="G31">
        <f>Varicella!E$23/10</f>
        <v>26.1</v>
      </c>
      <c r="H31">
        <f>Varicella!F$23/10</f>
        <v>26.6</v>
      </c>
      <c r="I31">
        <f>Varicella!G$23/10</f>
        <v>26.9</v>
      </c>
      <c r="J31">
        <f>Varicella!H$23/10</f>
        <v>27.2</v>
      </c>
      <c r="K31">
        <v>29.057142857142853</v>
      </c>
      <c r="L31">
        <v>0</v>
      </c>
      <c r="M31">
        <f t="shared" si="0"/>
        <v>29.057142857142853</v>
      </c>
      <c r="N31">
        <f>M31/B31</f>
        <v>2.2713314200846442E-4</v>
      </c>
      <c r="O31">
        <f t="shared" si="1"/>
        <v>0.9292232624907798</v>
      </c>
      <c r="P31">
        <f t="shared" si="2"/>
        <v>91251.085997636008</v>
      </c>
      <c r="Q31">
        <f t="shared" si="3"/>
        <v>0.92899612934877129</v>
      </c>
    </row>
    <row r="32" spans="1:17">
      <c r="A32">
        <v>30</v>
      </c>
      <c r="B32">
        <v>137472</v>
      </c>
      <c r="D32">
        <f>Varicella!B$24/10</f>
        <v>47.5</v>
      </c>
      <c r="E32">
        <f>Varicella!C$24/10</f>
        <v>36.700000000000003</v>
      </c>
      <c r="F32">
        <f>Varicella!D$24/10</f>
        <v>28.3</v>
      </c>
      <c r="G32">
        <f>Varicella!E$24/10</f>
        <v>23.5</v>
      </c>
      <c r="H32">
        <f>Varicella!F$24/10</f>
        <v>24.9</v>
      </c>
      <c r="I32">
        <f>Varicella!G$24/10</f>
        <v>22.8</v>
      </c>
      <c r="J32">
        <f>Varicella!H$24/10</f>
        <v>22.2</v>
      </c>
      <c r="K32">
        <v>29.414285714285715</v>
      </c>
      <c r="L32">
        <v>0</v>
      </c>
      <c r="M32">
        <f t="shared" si="0"/>
        <v>29.414285714285715</v>
      </c>
      <c r="N32">
        <f>M32/B32</f>
        <v>2.1396564910880554E-4</v>
      </c>
      <c r="O32">
        <f t="shared" si="1"/>
        <v>0.9294372281398886</v>
      </c>
      <c r="P32">
        <f t="shared" si="2"/>
        <v>91280.500283350295</v>
      </c>
      <c r="Q32">
        <f t="shared" si="3"/>
        <v>0.9292232624907798</v>
      </c>
    </row>
    <row r="33" spans="1:17">
      <c r="A33">
        <v>31</v>
      </c>
      <c r="B33">
        <v>145146</v>
      </c>
      <c r="D33">
        <f>Varicella!B$24/10</f>
        <v>47.5</v>
      </c>
      <c r="E33">
        <f>Varicella!C$24/10</f>
        <v>36.700000000000003</v>
      </c>
      <c r="F33">
        <f>Varicella!D$24/10</f>
        <v>28.3</v>
      </c>
      <c r="G33">
        <f>Varicella!E$24/10</f>
        <v>23.5</v>
      </c>
      <c r="H33">
        <f>Varicella!F$24/10</f>
        <v>24.9</v>
      </c>
      <c r="I33">
        <f>Varicella!G$24/10</f>
        <v>22.8</v>
      </c>
      <c r="J33">
        <f>Varicella!H$24/10</f>
        <v>22.2</v>
      </c>
      <c r="K33">
        <v>29.414285714285715</v>
      </c>
      <c r="L33">
        <v>0</v>
      </c>
      <c r="M33">
        <f t="shared" si="0"/>
        <v>29.414285714285715</v>
      </c>
      <c r="N33">
        <f>M33/B33</f>
        <v>2.0265309215745329E-4</v>
      </c>
      <c r="O33">
        <f t="shared" si="1"/>
        <v>0.92963988123204611</v>
      </c>
      <c r="P33">
        <f t="shared" si="2"/>
        <v>91309.914569064582</v>
      </c>
      <c r="Q33">
        <f t="shared" si="3"/>
        <v>0.9294372281398886</v>
      </c>
    </row>
    <row r="34" spans="1:17">
      <c r="A34">
        <v>32</v>
      </c>
      <c r="B34">
        <v>151791</v>
      </c>
      <c r="D34">
        <f>Varicella!B$24/10</f>
        <v>47.5</v>
      </c>
      <c r="E34">
        <f>Varicella!C$24/10</f>
        <v>36.700000000000003</v>
      </c>
      <c r="F34">
        <f>Varicella!D$24/10</f>
        <v>28.3</v>
      </c>
      <c r="G34">
        <f>Varicella!E$24/10</f>
        <v>23.5</v>
      </c>
      <c r="H34">
        <f>Varicella!F$24/10</f>
        <v>24.9</v>
      </c>
      <c r="I34">
        <f>Varicella!G$24/10</f>
        <v>22.8</v>
      </c>
      <c r="J34">
        <f>Varicella!H$24/10</f>
        <v>22.2</v>
      </c>
      <c r="K34">
        <v>29.414285714285715</v>
      </c>
      <c r="L34">
        <v>0</v>
      </c>
      <c r="M34">
        <f t="shared" si="0"/>
        <v>29.414285714285715</v>
      </c>
      <c r="N34">
        <f>M34/B34</f>
        <v>1.9378148713880081E-4</v>
      </c>
      <c r="O34">
        <f t="shared" si="1"/>
        <v>0.92983366271918488</v>
      </c>
      <c r="P34">
        <f t="shared" si="2"/>
        <v>91339.328854778869</v>
      </c>
      <c r="Q34">
        <f t="shared" si="3"/>
        <v>0.92963988123204611</v>
      </c>
    </row>
    <row r="35" spans="1:17">
      <c r="A35">
        <v>33</v>
      </c>
      <c r="B35">
        <v>161739</v>
      </c>
      <c r="D35">
        <f>Varicella!B$24/10</f>
        <v>47.5</v>
      </c>
      <c r="E35">
        <f>Varicella!C$24/10</f>
        <v>36.700000000000003</v>
      </c>
      <c r="F35">
        <f>Varicella!D$24/10</f>
        <v>28.3</v>
      </c>
      <c r="G35">
        <f>Varicella!E$24/10</f>
        <v>23.5</v>
      </c>
      <c r="H35">
        <f>Varicella!F$24/10</f>
        <v>24.9</v>
      </c>
      <c r="I35">
        <f>Varicella!G$24/10</f>
        <v>22.8</v>
      </c>
      <c r="J35">
        <f>Varicella!H$24/10</f>
        <v>22.2</v>
      </c>
      <c r="K35">
        <v>29.414285714285715</v>
      </c>
      <c r="L35">
        <v>0</v>
      </c>
      <c r="M35">
        <f t="shared" si="0"/>
        <v>29.414285714285715</v>
      </c>
      <c r="N35">
        <f>M35/B35</f>
        <v>1.818626658646691E-4</v>
      </c>
      <c r="O35">
        <f t="shared" si="1"/>
        <v>0.9300155253850495</v>
      </c>
      <c r="P35">
        <f t="shared" si="2"/>
        <v>91368.743140493156</v>
      </c>
      <c r="Q35">
        <f t="shared" si="3"/>
        <v>0.92983366271918488</v>
      </c>
    </row>
    <row r="36" spans="1:17">
      <c r="A36">
        <v>34</v>
      </c>
      <c r="B36">
        <v>169169</v>
      </c>
      <c r="D36">
        <f>Varicella!B$24/10</f>
        <v>47.5</v>
      </c>
      <c r="E36">
        <f>Varicella!C$24/10</f>
        <v>36.700000000000003</v>
      </c>
      <c r="F36">
        <f>Varicella!D$24/10</f>
        <v>28.3</v>
      </c>
      <c r="G36">
        <f>Varicella!E$24/10</f>
        <v>23.5</v>
      </c>
      <c r="H36">
        <f>Varicella!F$24/10</f>
        <v>24.9</v>
      </c>
      <c r="I36">
        <f>Varicella!G$24/10</f>
        <v>22.8</v>
      </c>
      <c r="J36">
        <f>Varicella!H$24/10</f>
        <v>22.2</v>
      </c>
      <c r="K36">
        <v>29.414285714285715</v>
      </c>
      <c r="L36">
        <v>0</v>
      </c>
      <c r="M36">
        <f t="shared" si="0"/>
        <v>29.414285714285715</v>
      </c>
      <c r="N36">
        <f>M36/B36</f>
        <v>1.7387515274243931E-4</v>
      </c>
      <c r="O36">
        <f t="shared" si="1"/>
        <v>0.93018940053779198</v>
      </c>
      <c r="P36">
        <f t="shared" si="2"/>
        <v>91398.157426207443</v>
      </c>
      <c r="Q36">
        <f t="shared" si="3"/>
        <v>0.9300155253850495</v>
      </c>
    </row>
    <row r="37" spans="1:17">
      <c r="A37">
        <v>35</v>
      </c>
      <c r="B37">
        <v>176095</v>
      </c>
      <c r="D37">
        <f>Varicella!B$24/10</f>
        <v>47.5</v>
      </c>
      <c r="E37">
        <f>Varicella!C$24/10</f>
        <v>36.700000000000003</v>
      </c>
      <c r="F37">
        <f>Varicella!D$24/10</f>
        <v>28.3</v>
      </c>
      <c r="G37">
        <f>Varicella!E$24/10</f>
        <v>23.5</v>
      </c>
      <c r="H37">
        <f>Varicella!F$24/10</f>
        <v>24.9</v>
      </c>
      <c r="I37">
        <f>Varicella!G$24/10</f>
        <v>22.8</v>
      </c>
      <c r="J37">
        <f>Varicella!H$24/10</f>
        <v>22.2</v>
      </c>
      <c r="K37">
        <v>29.414285714285715</v>
      </c>
      <c r="L37">
        <v>0</v>
      </c>
      <c r="M37">
        <f t="shared" si="0"/>
        <v>29.414285714285715</v>
      </c>
      <c r="N37">
        <f>M37/B37</f>
        <v>1.6703646165016448E-4</v>
      </c>
      <c r="O37">
        <f t="shared" si="1"/>
        <v>0.93035643699944215</v>
      </c>
      <c r="P37">
        <f t="shared" si="2"/>
        <v>91427.57171192173</v>
      </c>
      <c r="Q37">
        <f t="shared" si="3"/>
        <v>0.93018940053779198</v>
      </c>
    </row>
    <row r="38" spans="1:17">
      <c r="A38">
        <v>36</v>
      </c>
      <c r="B38">
        <v>184454</v>
      </c>
      <c r="D38">
        <f>Varicella!B$24/10</f>
        <v>47.5</v>
      </c>
      <c r="E38">
        <f>Varicella!C$24/10</f>
        <v>36.700000000000003</v>
      </c>
      <c r="F38">
        <f>Varicella!D$24/10</f>
        <v>28.3</v>
      </c>
      <c r="G38">
        <f>Varicella!E$24/10</f>
        <v>23.5</v>
      </c>
      <c r="H38">
        <f>Varicella!F$24/10</f>
        <v>24.9</v>
      </c>
      <c r="I38">
        <f>Varicella!G$24/10</f>
        <v>22.8</v>
      </c>
      <c r="J38">
        <f>Varicella!H$24/10</f>
        <v>22.2</v>
      </c>
      <c r="K38">
        <v>29.414285714285715</v>
      </c>
      <c r="L38">
        <v>0</v>
      </c>
      <c r="M38">
        <f t="shared" si="0"/>
        <v>29.414285714285715</v>
      </c>
      <c r="N38">
        <f>M38/B38</f>
        <v>1.5946678149720642E-4</v>
      </c>
      <c r="O38">
        <f t="shared" si="1"/>
        <v>0.9305159037809394</v>
      </c>
      <c r="P38">
        <f t="shared" si="2"/>
        <v>91456.985997636017</v>
      </c>
      <c r="Q38">
        <f t="shared" si="3"/>
        <v>0.93035643699944215</v>
      </c>
    </row>
    <row r="39" spans="1:17">
      <c r="A39">
        <v>37</v>
      </c>
      <c r="B39">
        <v>165215</v>
      </c>
      <c r="D39">
        <f>Varicella!B$24/10</f>
        <v>47.5</v>
      </c>
      <c r="E39">
        <f>Varicella!C$24/10</f>
        <v>36.700000000000003</v>
      </c>
      <c r="F39">
        <f>Varicella!D$24/10</f>
        <v>28.3</v>
      </c>
      <c r="G39">
        <f>Varicella!E$24/10</f>
        <v>23.5</v>
      </c>
      <c r="H39">
        <f>Varicella!F$24/10</f>
        <v>24.9</v>
      </c>
      <c r="I39">
        <f>Varicella!G$24/10</f>
        <v>22.8</v>
      </c>
      <c r="J39">
        <f>Varicella!H$24/10</f>
        <v>22.2</v>
      </c>
      <c r="K39">
        <v>29.414285714285715</v>
      </c>
      <c r="L39">
        <v>0</v>
      </c>
      <c r="M39">
        <f t="shared" si="0"/>
        <v>29.414285714285715</v>
      </c>
      <c r="N39">
        <f>M39/B39</f>
        <v>1.7803641142926318E-4</v>
      </c>
      <c r="O39">
        <f t="shared" si="1"/>
        <v>0.93069394019236862</v>
      </c>
      <c r="P39">
        <f t="shared" si="2"/>
        <v>91486.400283350304</v>
      </c>
      <c r="Q39">
        <f t="shared" si="3"/>
        <v>0.9305159037809394</v>
      </c>
    </row>
    <row r="40" spans="1:17">
      <c r="A40">
        <v>38</v>
      </c>
      <c r="B40">
        <v>147121</v>
      </c>
      <c r="D40">
        <f>Varicella!B$24/10</f>
        <v>47.5</v>
      </c>
      <c r="E40">
        <f>Varicella!C$24/10</f>
        <v>36.700000000000003</v>
      </c>
      <c r="F40">
        <f>Varicella!D$24/10</f>
        <v>28.3</v>
      </c>
      <c r="G40">
        <f>Varicella!E$24/10</f>
        <v>23.5</v>
      </c>
      <c r="H40">
        <f>Varicella!F$24/10</f>
        <v>24.9</v>
      </c>
      <c r="I40">
        <f>Varicella!G$24/10</f>
        <v>22.8</v>
      </c>
      <c r="J40">
        <f>Varicella!H$24/10</f>
        <v>22.2</v>
      </c>
      <c r="K40">
        <v>29.414285714285715</v>
      </c>
      <c r="L40">
        <v>0</v>
      </c>
      <c r="M40">
        <f t="shared" si="0"/>
        <v>29.414285714285715</v>
      </c>
      <c r="N40">
        <f>M40/B40</f>
        <v>1.9993261134906447E-4</v>
      </c>
      <c r="O40">
        <f t="shared" si="1"/>
        <v>0.93089387280371771</v>
      </c>
      <c r="P40">
        <f t="shared" si="2"/>
        <v>91515.814569064591</v>
      </c>
      <c r="Q40">
        <f t="shared" si="3"/>
        <v>0.93069394019236862</v>
      </c>
    </row>
    <row r="41" spans="1:17">
      <c r="A41">
        <v>39</v>
      </c>
      <c r="B41">
        <v>142711</v>
      </c>
      <c r="D41">
        <f>Varicella!B$24/10</f>
        <v>47.5</v>
      </c>
      <c r="E41">
        <f>Varicella!C$24/10</f>
        <v>36.700000000000003</v>
      </c>
      <c r="F41">
        <f>Varicella!D$24/10</f>
        <v>28.3</v>
      </c>
      <c r="G41">
        <f>Varicella!E$24/10</f>
        <v>23.5</v>
      </c>
      <c r="H41">
        <f>Varicella!F$24/10</f>
        <v>24.9</v>
      </c>
      <c r="I41">
        <f>Varicella!G$24/10</f>
        <v>22.8</v>
      </c>
      <c r="J41">
        <f>Varicella!H$24/10</f>
        <v>22.2</v>
      </c>
      <c r="K41">
        <v>29.414285714285715</v>
      </c>
      <c r="L41">
        <v>0</v>
      </c>
      <c r="M41">
        <f t="shared" si="0"/>
        <v>29.414285714285715</v>
      </c>
      <c r="N41">
        <f>M41/B41</f>
        <v>2.0611085140098321E-4</v>
      </c>
      <c r="O41">
        <f t="shared" si="1"/>
        <v>0.9310999836551187</v>
      </c>
      <c r="P41">
        <f t="shared" si="2"/>
        <v>91545.228854778878</v>
      </c>
      <c r="Q41">
        <f t="shared" si="3"/>
        <v>0.93089387280371771</v>
      </c>
    </row>
    <row r="42" spans="1:17">
      <c r="A42">
        <v>40</v>
      </c>
      <c r="B42">
        <v>140719</v>
      </c>
      <c r="D42">
        <f>Varicella!B$25/10</f>
        <v>10.5</v>
      </c>
      <c r="E42">
        <f>Varicella!C$25/10</f>
        <v>10.9</v>
      </c>
      <c r="F42">
        <f>Varicella!D$25/10</f>
        <v>9.6999999999999993</v>
      </c>
      <c r="G42">
        <f>Varicella!E$25/10</f>
        <v>7.9</v>
      </c>
      <c r="H42">
        <f>Varicella!F$25/10</f>
        <v>9</v>
      </c>
      <c r="I42">
        <f>Varicella!G$25/10</f>
        <v>10.9</v>
      </c>
      <c r="J42">
        <f>Varicella!H$25/10</f>
        <v>8.6999999999999993</v>
      </c>
      <c r="K42">
        <v>9.6571428571428566</v>
      </c>
      <c r="L42">
        <v>0</v>
      </c>
      <c r="M42">
        <f t="shared" si="0"/>
        <v>9.6571428571428566</v>
      </c>
      <c r="N42">
        <f>M42/B42</f>
        <v>6.8627142440913142E-5</v>
      </c>
      <c r="O42">
        <f t="shared" si="1"/>
        <v>0.93116861079755964</v>
      </c>
      <c r="P42">
        <f t="shared" si="2"/>
        <v>91554.885997636025</v>
      </c>
      <c r="Q42">
        <f t="shared" si="3"/>
        <v>0.9310999836551187</v>
      </c>
    </row>
    <row r="43" spans="1:17">
      <c r="A43">
        <v>41</v>
      </c>
      <c r="B43">
        <v>146472</v>
      </c>
      <c r="D43">
        <f>Varicella!B$25/10</f>
        <v>10.5</v>
      </c>
      <c r="E43">
        <f>Varicella!C$25/10</f>
        <v>10.9</v>
      </c>
      <c r="F43">
        <f>Varicella!D$25/10</f>
        <v>9.6999999999999993</v>
      </c>
      <c r="G43">
        <f>Varicella!E$25/10</f>
        <v>7.9</v>
      </c>
      <c r="H43">
        <f>Varicella!F$25/10</f>
        <v>9</v>
      </c>
      <c r="I43">
        <f>Varicella!G$25/10</f>
        <v>10.9</v>
      </c>
      <c r="J43">
        <f>Varicella!H$25/10</f>
        <v>8.6999999999999993</v>
      </c>
      <c r="K43">
        <v>9.6571428571428566</v>
      </c>
      <c r="L43">
        <v>0</v>
      </c>
      <c r="M43">
        <f t="shared" si="0"/>
        <v>9.6571428571428566</v>
      </c>
      <c r="N43">
        <f>M43/B43</f>
        <v>6.5931665145166704E-5</v>
      </c>
      <c r="O43">
        <f t="shared" si="1"/>
        <v>0.93123454246270476</v>
      </c>
      <c r="P43">
        <f t="shared" si="2"/>
        <v>91564.543140493173</v>
      </c>
      <c r="Q43">
        <f t="shared" si="3"/>
        <v>0.93116861079755964</v>
      </c>
    </row>
    <row r="44" spans="1:17">
      <c r="A44">
        <v>42</v>
      </c>
      <c r="B44">
        <v>144684</v>
      </c>
      <c r="D44">
        <f>Varicella!B$25/10</f>
        <v>10.5</v>
      </c>
      <c r="E44">
        <f>Varicella!C$25/10</f>
        <v>10.9</v>
      </c>
      <c r="F44">
        <f>Varicella!D$25/10</f>
        <v>9.6999999999999993</v>
      </c>
      <c r="G44">
        <f>Varicella!E$25/10</f>
        <v>7.9</v>
      </c>
      <c r="H44">
        <f>Varicella!F$25/10</f>
        <v>9</v>
      </c>
      <c r="I44">
        <f>Varicella!G$25/10</f>
        <v>10.9</v>
      </c>
      <c r="J44">
        <f>Varicella!H$25/10</f>
        <v>8.6999999999999993</v>
      </c>
      <c r="K44">
        <v>9.6571428571428566</v>
      </c>
      <c r="L44">
        <v>0</v>
      </c>
      <c r="M44">
        <f t="shared" si="0"/>
        <v>9.6571428571428566</v>
      </c>
      <c r="N44">
        <f>M44/B44</f>
        <v>6.6746446442888342E-5</v>
      </c>
      <c r="O44">
        <f t="shared" si="1"/>
        <v>0.93130128890914765</v>
      </c>
      <c r="P44">
        <f t="shared" si="2"/>
        <v>91574.200283350321</v>
      </c>
      <c r="Q44">
        <f t="shared" si="3"/>
        <v>0.93123454246270476</v>
      </c>
    </row>
    <row r="45" spans="1:17">
      <c r="A45">
        <v>43</v>
      </c>
      <c r="B45">
        <v>147379</v>
      </c>
      <c r="D45">
        <f>Varicella!B$25/10</f>
        <v>10.5</v>
      </c>
      <c r="E45">
        <f>Varicella!C$25/10</f>
        <v>10.9</v>
      </c>
      <c r="F45">
        <f>Varicella!D$25/10</f>
        <v>9.6999999999999993</v>
      </c>
      <c r="G45">
        <f>Varicella!E$25/10</f>
        <v>7.9</v>
      </c>
      <c r="H45">
        <f>Varicella!F$25/10</f>
        <v>9</v>
      </c>
      <c r="I45">
        <f>Varicella!G$25/10</f>
        <v>10.9</v>
      </c>
      <c r="J45">
        <f>Varicella!H$25/10</f>
        <v>8.6999999999999993</v>
      </c>
      <c r="K45">
        <v>9.6571428571428566</v>
      </c>
      <c r="L45">
        <v>0</v>
      </c>
      <c r="M45">
        <f t="shared" si="0"/>
        <v>9.6571428571428566</v>
      </c>
      <c r="N45">
        <f>M45/B45</f>
        <v>6.5525908420757746E-5</v>
      </c>
      <c r="O45">
        <f t="shared" si="1"/>
        <v>0.93136681481756844</v>
      </c>
      <c r="P45">
        <f t="shared" si="2"/>
        <v>91583.857426207469</v>
      </c>
      <c r="Q45">
        <f t="shared" si="3"/>
        <v>0.93130128890914765</v>
      </c>
    </row>
    <row r="46" spans="1:17">
      <c r="A46">
        <v>44</v>
      </c>
      <c r="B46">
        <v>135267</v>
      </c>
      <c r="D46">
        <f>Varicella!B$25/10</f>
        <v>10.5</v>
      </c>
      <c r="E46">
        <f>Varicella!C$25/10</f>
        <v>10.9</v>
      </c>
      <c r="F46">
        <f>Varicella!D$25/10</f>
        <v>9.6999999999999993</v>
      </c>
      <c r="G46">
        <f>Varicella!E$25/10</f>
        <v>7.9</v>
      </c>
      <c r="H46">
        <f>Varicella!F$25/10</f>
        <v>9</v>
      </c>
      <c r="I46">
        <f>Varicella!G$25/10</f>
        <v>10.9</v>
      </c>
      <c r="J46">
        <f>Varicella!H$25/10</f>
        <v>8.6999999999999993</v>
      </c>
      <c r="K46">
        <v>9.6571428571428566</v>
      </c>
      <c r="L46">
        <v>0</v>
      </c>
      <c r="M46">
        <f t="shared" si="0"/>
        <v>9.6571428571428566</v>
      </c>
      <c r="N46">
        <f>M46/B46</f>
        <v>7.1393191666429038E-5</v>
      </c>
      <c r="O46">
        <f t="shared" si="1"/>
        <v>0.93143820800923482</v>
      </c>
      <c r="P46">
        <f t="shared" si="2"/>
        <v>91593.514569064617</v>
      </c>
      <c r="Q46">
        <f t="shared" si="3"/>
        <v>0.93136681481756844</v>
      </c>
    </row>
    <row r="47" spans="1:17">
      <c r="A47">
        <v>45</v>
      </c>
      <c r="B47">
        <v>124768</v>
      </c>
      <c r="D47">
        <f>Varicella!B$25/10</f>
        <v>10.5</v>
      </c>
      <c r="E47">
        <f>Varicella!C$25/10</f>
        <v>10.9</v>
      </c>
      <c r="F47">
        <f>Varicella!D$25/10</f>
        <v>9.6999999999999993</v>
      </c>
      <c r="G47">
        <f>Varicella!E$25/10</f>
        <v>7.9</v>
      </c>
      <c r="H47">
        <f>Varicella!F$25/10</f>
        <v>9</v>
      </c>
      <c r="I47">
        <f>Varicella!G$25/10</f>
        <v>10.9</v>
      </c>
      <c r="J47">
        <f>Varicella!H$25/10</f>
        <v>8.6999999999999993</v>
      </c>
      <c r="K47">
        <v>9.6571428571428566</v>
      </c>
      <c r="L47">
        <v>0</v>
      </c>
      <c r="M47">
        <f t="shared" si="0"/>
        <v>9.6571428571428566</v>
      </c>
      <c r="N47">
        <f>M47/B47</f>
        <v>7.7400798739603563E-5</v>
      </c>
      <c r="O47">
        <f t="shared" si="1"/>
        <v>0.93151560880797446</v>
      </c>
      <c r="P47">
        <f t="shared" si="2"/>
        <v>91603.171711921765</v>
      </c>
      <c r="Q47">
        <f t="shared" si="3"/>
        <v>0.93143820800923482</v>
      </c>
    </row>
    <row r="48" spans="1:17">
      <c r="A48">
        <v>46</v>
      </c>
      <c r="B48">
        <v>121641</v>
      </c>
      <c r="D48">
        <f>Varicella!B$25/10</f>
        <v>10.5</v>
      </c>
      <c r="E48">
        <f>Varicella!C$25/10</f>
        <v>10.9</v>
      </c>
      <c r="F48">
        <f>Varicella!D$25/10</f>
        <v>9.6999999999999993</v>
      </c>
      <c r="G48">
        <f>Varicella!E$25/10</f>
        <v>7.9</v>
      </c>
      <c r="H48">
        <f>Varicella!F$25/10</f>
        <v>9</v>
      </c>
      <c r="I48">
        <f>Varicella!G$25/10</f>
        <v>10.9</v>
      </c>
      <c r="J48">
        <f>Varicella!H$25/10</f>
        <v>8.6999999999999993</v>
      </c>
      <c r="K48">
        <v>9.6571428571428566</v>
      </c>
      <c r="L48">
        <v>0</v>
      </c>
      <c r="M48">
        <f t="shared" si="0"/>
        <v>9.6571428571428566</v>
      </c>
      <c r="N48">
        <f>M48/B48</f>
        <v>7.9390525046183909E-5</v>
      </c>
      <c r="O48">
        <f t="shared" si="1"/>
        <v>0.93159499933302059</v>
      </c>
      <c r="P48">
        <f t="shared" si="2"/>
        <v>91612.828854778913</v>
      </c>
      <c r="Q48">
        <f t="shared" si="3"/>
        <v>0.93151560880797446</v>
      </c>
    </row>
    <row r="49" spans="1:17">
      <c r="A49">
        <v>47</v>
      </c>
      <c r="B49">
        <v>120112</v>
      </c>
      <c r="D49">
        <f>Varicella!B$25/10</f>
        <v>10.5</v>
      </c>
      <c r="E49">
        <f>Varicella!C$25/10</f>
        <v>10.9</v>
      </c>
      <c r="F49">
        <f>Varicella!D$25/10</f>
        <v>9.6999999999999993</v>
      </c>
      <c r="G49">
        <f>Varicella!E$25/10</f>
        <v>7.9</v>
      </c>
      <c r="H49">
        <f>Varicella!F$25/10</f>
        <v>9</v>
      </c>
      <c r="I49">
        <f>Varicella!G$25/10</f>
        <v>10.9</v>
      </c>
      <c r="J49">
        <f>Varicella!H$25/10</f>
        <v>8.6999999999999993</v>
      </c>
      <c r="K49">
        <v>9.6571428571428566</v>
      </c>
      <c r="L49">
        <v>0</v>
      </c>
      <c r="M49">
        <f t="shared" si="0"/>
        <v>9.6571428571428566</v>
      </c>
      <c r="N49">
        <f>M49/B49</f>
        <v>8.0401149403413948E-5</v>
      </c>
      <c r="O49">
        <f t="shared" si="1"/>
        <v>0.93167540048242403</v>
      </c>
      <c r="P49">
        <f t="shared" si="2"/>
        <v>91622.48599763606</v>
      </c>
      <c r="Q49">
        <f t="shared" si="3"/>
        <v>0.93159499933302059</v>
      </c>
    </row>
    <row r="50" spans="1:17">
      <c r="A50">
        <v>48</v>
      </c>
      <c r="B50">
        <v>117574</v>
      </c>
      <c r="D50">
        <f>Varicella!B$25/10</f>
        <v>10.5</v>
      </c>
      <c r="E50">
        <f>Varicella!C$25/10</f>
        <v>10.9</v>
      </c>
      <c r="F50">
        <f>Varicella!D$25/10</f>
        <v>9.6999999999999993</v>
      </c>
      <c r="G50">
        <f>Varicella!E$25/10</f>
        <v>7.9</v>
      </c>
      <c r="H50">
        <f>Varicella!F$25/10</f>
        <v>9</v>
      </c>
      <c r="I50">
        <f>Varicella!G$25/10</f>
        <v>10.9</v>
      </c>
      <c r="J50">
        <f>Varicella!H$25/10</f>
        <v>8.6999999999999993</v>
      </c>
      <c r="K50">
        <v>9.6571428571428566</v>
      </c>
      <c r="L50">
        <v>0</v>
      </c>
      <c r="M50">
        <f t="shared" si="0"/>
        <v>9.6571428571428566</v>
      </c>
      <c r="N50">
        <f>M50/B50</f>
        <v>8.2136721189573001E-5</v>
      </c>
      <c r="O50">
        <f t="shared" si="1"/>
        <v>0.93175753720361365</v>
      </c>
      <c r="P50">
        <f t="shared" si="2"/>
        <v>91632.143140493208</v>
      </c>
      <c r="Q50">
        <f t="shared" si="3"/>
        <v>0.93167540048242403</v>
      </c>
    </row>
    <row r="51" spans="1:17">
      <c r="A51">
        <v>49</v>
      </c>
      <c r="B51">
        <v>117577</v>
      </c>
      <c r="D51">
        <f>Varicella!B$25/10</f>
        <v>10.5</v>
      </c>
      <c r="E51">
        <f>Varicella!C$25/10</f>
        <v>10.9</v>
      </c>
      <c r="F51">
        <f>Varicella!D$25/10</f>
        <v>9.6999999999999993</v>
      </c>
      <c r="G51">
        <f>Varicella!E$25/10</f>
        <v>7.9</v>
      </c>
      <c r="H51">
        <f>Varicella!F$25/10</f>
        <v>9</v>
      </c>
      <c r="I51">
        <f>Varicella!G$25/10</f>
        <v>10.9</v>
      </c>
      <c r="J51">
        <f>Varicella!H$25/10</f>
        <v>8.6999999999999993</v>
      </c>
      <c r="K51">
        <v>9.6571428571428566</v>
      </c>
      <c r="L51">
        <v>0</v>
      </c>
      <c r="M51">
        <f t="shared" si="0"/>
        <v>9.6571428571428566</v>
      </c>
      <c r="N51">
        <f>M51/B51</f>
        <v>8.2134625455172839E-5</v>
      </c>
      <c r="O51">
        <f t="shared" si="1"/>
        <v>0.93183967182906879</v>
      </c>
      <c r="P51">
        <f t="shared" si="2"/>
        <v>91641.800283350356</v>
      </c>
      <c r="Q51">
        <f t="shared" si="3"/>
        <v>0.93175753720361365</v>
      </c>
    </row>
    <row r="52" spans="1:17">
      <c r="A52">
        <v>50</v>
      </c>
      <c r="B52">
        <v>123257</v>
      </c>
      <c r="D52">
        <f>Varicella!B$26/10</f>
        <v>2.2999999999999998</v>
      </c>
      <c r="E52">
        <f>Varicella!C$26/10</f>
        <v>2.6</v>
      </c>
      <c r="F52">
        <f>Varicella!D$26/10</f>
        <v>2.2999999999999998</v>
      </c>
      <c r="G52">
        <f>Varicella!E$26/10</f>
        <v>3.1</v>
      </c>
      <c r="H52">
        <f>Varicella!F$26/10</f>
        <v>2.1</v>
      </c>
      <c r="I52">
        <f>Varicella!G$26/10</f>
        <v>2.6</v>
      </c>
      <c r="J52">
        <f>Varicella!H$26/10</f>
        <v>1.8</v>
      </c>
      <c r="K52">
        <f>Varicella!I$26/10</f>
        <v>2.4</v>
      </c>
      <c r="L52">
        <v>0</v>
      </c>
      <c r="M52">
        <f t="shared" si="0"/>
        <v>2.4</v>
      </c>
      <c r="N52">
        <f>M52/B52</f>
        <v>1.9471510745839993E-5</v>
      </c>
      <c r="O52">
        <f t="shared" si="1"/>
        <v>0.93185914333981468</v>
      </c>
      <c r="P52">
        <f t="shared" si="2"/>
        <v>91644.20028335035</v>
      </c>
      <c r="Q52">
        <f t="shared" si="3"/>
        <v>0.93183967182906879</v>
      </c>
    </row>
    <row r="53" spans="1:17">
      <c r="A53">
        <v>51</v>
      </c>
      <c r="B53">
        <v>128369</v>
      </c>
      <c r="D53">
        <f>Varicella!B$26/10</f>
        <v>2.2999999999999998</v>
      </c>
      <c r="E53">
        <f>Varicella!C$26/10</f>
        <v>2.6</v>
      </c>
      <c r="F53">
        <f>Varicella!D$26/10</f>
        <v>2.2999999999999998</v>
      </c>
      <c r="G53">
        <f>Varicella!E$26/10</f>
        <v>3.1</v>
      </c>
      <c r="H53">
        <f>Varicella!F$26/10</f>
        <v>2.1</v>
      </c>
      <c r="I53">
        <f>Varicella!G$26/10</f>
        <v>2.6</v>
      </c>
      <c r="J53">
        <f>Varicella!H$26/10</f>
        <v>1.8</v>
      </c>
      <c r="K53">
        <f>Varicella!I$26/10</f>
        <v>2.4</v>
      </c>
      <c r="L53">
        <v>0</v>
      </c>
      <c r="M53">
        <f t="shared" si="0"/>
        <v>2.4</v>
      </c>
      <c r="N53">
        <f>M53/B53</f>
        <v>1.8696102641603501E-5</v>
      </c>
      <c r="O53">
        <f t="shared" si="1"/>
        <v>0.93187783944245628</v>
      </c>
      <c r="P53">
        <f t="shared" si="2"/>
        <v>91646.600283350344</v>
      </c>
      <c r="Q53">
        <f t="shared" si="3"/>
        <v>0.93185914333981468</v>
      </c>
    </row>
    <row r="54" spans="1:17">
      <c r="A54">
        <v>52</v>
      </c>
      <c r="B54">
        <v>131196</v>
      </c>
      <c r="D54">
        <f>Varicella!B$26/10</f>
        <v>2.2999999999999998</v>
      </c>
      <c r="E54">
        <f>Varicella!C$26/10</f>
        <v>2.6</v>
      </c>
      <c r="F54">
        <f>Varicella!D$26/10</f>
        <v>2.2999999999999998</v>
      </c>
      <c r="G54">
        <f>Varicella!E$26/10</f>
        <v>3.1</v>
      </c>
      <c r="H54">
        <f>Varicella!F$26/10</f>
        <v>2.1</v>
      </c>
      <c r="I54">
        <f>Varicella!G$26/10</f>
        <v>2.6</v>
      </c>
      <c r="J54">
        <f>Varicella!H$26/10</f>
        <v>1.8</v>
      </c>
      <c r="K54">
        <f>Varicella!I$26/10</f>
        <v>2.4</v>
      </c>
      <c r="L54">
        <v>0</v>
      </c>
      <c r="M54">
        <f t="shared" si="0"/>
        <v>2.4</v>
      </c>
      <c r="N54">
        <f>M54/B54</f>
        <v>1.8293240647580719E-5</v>
      </c>
      <c r="O54">
        <f t="shared" si="1"/>
        <v>0.93189613268310389</v>
      </c>
      <c r="P54">
        <f t="shared" si="2"/>
        <v>91649.000283350339</v>
      </c>
      <c r="Q54">
        <f t="shared" si="3"/>
        <v>0.93187783944245628</v>
      </c>
    </row>
    <row r="55" spans="1:17">
      <c r="A55">
        <v>53</v>
      </c>
      <c r="B55">
        <v>134357</v>
      </c>
      <c r="D55">
        <f>Varicella!B$26/10</f>
        <v>2.2999999999999998</v>
      </c>
      <c r="E55">
        <f>Varicella!C$26/10</f>
        <v>2.6</v>
      </c>
      <c r="F55">
        <f>Varicella!D$26/10</f>
        <v>2.2999999999999998</v>
      </c>
      <c r="G55">
        <f>Varicella!E$26/10</f>
        <v>3.1</v>
      </c>
      <c r="H55">
        <f>Varicella!F$26/10</f>
        <v>2.1</v>
      </c>
      <c r="I55">
        <f>Varicella!G$26/10</f>
        <v>2.6</v>
      </c>
      <c r="J55">
        <f>Varicella!H$26/10</f>
        <v>1.8</v>
      </c>
      <c r="K55">
        <f>Varicella!I$26/10</f>
        <v>2.4</v>
      </c>
      <c r="L55">
        <v>0</v>
      </c>
      <c r="M55">
        <f t="shared" si="0"/>
        <v>2.4</v>
      </c>
      <c r="N55">
        <f>M55/B55</f>
        <v>1.7862857908408196E-5</v>
      </c>
      <c r="O55">
        <f t="shared" si="1"/>
        <v>0.93191399554101229</v>
      </c>
      <c r="P55">
        <f t="shared" si="2"/>
        <v>91651.400283350333</v>
      </c>
      <c r="Q55">
        <f t="shared" si="3"/>
        <v>0.93189613268310389</v>
      </c>
    </row>
    <row r="56" spans="1:17">
      <c r="A56">
        <v>54</v>
      </c>
      <c r="B56">
        <v>140392</v>
      </c>
      <c r="D56">
        <f>Varicella!B$26/10</f>
        <v>2.2999999999999998</v>
      </c>
      <c r="E56">
        <f>Varicella!C$26/10</f>
        <v>2.6</v>
      </c>
      <c r="F56">
        <f>Varicella!D$26/10</f>
        <v>2.2999999999999998</v>
      </c>
      <c r="G56">
        <f>Varicella!E$26/10</f>
        <v>3.1</v>
      </c>
      <c r="H56">
        <f>Varicella!F$26/10</f>
        <v>2.1</v>
      </c>
      <c r="I56">
        <f>Varicella!G$26/10</f>
        <v>2.6</v>
      </c>
      <c r="J56">
        <f>Varicella!H$26/10</f>
        <v>1.8</v>
      </c>
      <c r="K56">
        <f>Varicella!I$26/10</f>
        <v>2.4</v>
      </c>
      <c r="L56">
        <v>0</v>
      </c>
      <c r="M56">
        <f t="shared" si="0"/>
        <v>2.4</v>
      </c>
      <c r="N56">
        <f>M56/B56</f>
        <v>1.7094991167587895E-5</v>
      </c>
      <c r="O56">
        <f t="shared" si="1"/>
        <v>0.93193109053217993</v>
      </c>
      <c r="P56">
        <f t="shared" si="2"/>
        <v>91653.800283350327</v>
      </c>
      <c r="Q56">
        <f t="shared" si="3"/>
        <v>0.93191399554101229</v>
      </c>
    </row>
    <row r="57" spans="1:17">
      <c r="A57">
        <v>55</v>
      </c>
      <c r="B57">
        <v>156220</v>
      </c>
      <c r="D57">
        <f>Varicella!B$26/10</f>
        <v>2.2999999999999998</v>
      </c>
      <c r="E57">
        <f>Varicella!C$26/10</f>
        <v>2.6</v>
      </c>
      <c r="F57">
        <f>Varicella!D$26/10</f>
        <v>2.2999999999999998</v>
      </c>
      <c r="G57">
        <f>Varicella!E$26/10</f>
        <v>3.1</v>
      </c>
      <c r="H57">
        <f>Varicella!F$26/10</f>
        <v>2.1</v>
      </c>
      <c r="I57">
        <f>Varicella!G$26/10</f>
        <v>2.6</v>
      </c>
      <c r="J57">
        <f>Varicella!H$26/10</f>
        <v>1.8</v>
      </c>
      <c r="K57">
        <f>Varicella!I$26/10</f>
        <v>2.4</v>
      </c>
      <c r="L57">
        <v>0</v>
      </c>
      <c r="M57">
        <f t="shared" si="0"/>
        <v>2.4</v>
      </c>
      <c r="N57">
        <f>M57/B57</f>
        <v>1.5362949686339778E-5</v>
      </c>
      <c r="O57">
        <f t="shared" si="1"/>
        <v>0.93194645348186622</v>
      </c>
      <c r="P57">
        <f t="shared" si="2"/>
        <v>91656.200283350321</v>
      </c>
      <c r="Q57">
        <f t="shared" si="3"/>
        <v>0.93193109053217993</v>
      </c>
    </row>
    <row r="58" spans="1:17">
      <c r="A58">
        <v>56</v>
      </c>
      <c r="B58">
        <v>168660</v>
      </c>
      <c r="D58">
        <f>Varicella!B$26/10</f>
        <v>2.2999999999999998</v>
      </c>
      <c r="E58">
        <f>Varicella!C$26/10</f>
        <v>2.6</v>
      </c>
      <c r="F58">
        <f>Varicella!D$26/10</f>
        <v>2.2999999999999998</v>
      </c>
      <c r="G58">
        <f>Varicella!E$26/10</f>
        <v>3.1</v>
      </c>
      <c r="H58">
        <f>Varicella!F$26/10</f>
        <v>2.1</v>
      </c>
      <c r="I58">
        <f>Varicella!G$26/10</f>
        <v>2.6</v>
      </c>
      <c r="J58">
        <f>Varicella!H$26/10</f>
        <v>1.8</v>
      </c>
      <c r="K58">
        <f>Varicella!I$26/10</f>
        <v>2.4</v>
      </c>
      <c r="L58">
        <v>0</v>
      </c>
      <c r="M58">
        <f t="shared" si="0"/>
        <v>2.4</v>
      </c>
      <c r="N58">
        <f>M58/B58</f>
        <v>1.4229811454998221E-5</v>
      </c>
      <c r="O58">
        <f t="shared" si="1"/>
        <v>0.93196068329332127</v>
      </c>
      <c r="P58">
        <f t="shared" si="2"/>
        <v>91658.600283350315</v>
      </c>
      <c r="Q58">
        <f t="shared" si="3"/>
        <v>0.93194645348186622</v>
      </c>
    </row>
    <row r="59" spans="1:17">
      <c r="A59">
        <v>57</v>
      </c>
      <c r="B59">
        <v>168121</v>
      </c>
      <c r="D59">
        <f>Varicella!B$26/10</f>
        <v>2.2999999999999998</v>
      </c>
      <c r="E59">
        <f>Varicella!C$26/10</f>
        <v>2.6</v>
      </c>
      <c r="F59">
        <f>Varicella!D$26/10</f>
        <v>2.2999999999999998</v>
      </c>
      <c r="G59">
        <f>Varicella!E$26/10</f>
        <v>3.1</v>
      </c>
      <c r="H59">
        <f>Varicella!F$26/10</f>
        <v>2.1</v>
      </c>
      <c r="I59">
        <f>Varicella!G$26/10</f>
        <v>2.6</v>
      </c>
      <c r="J59">
        <f>Varicella!H$26/10</f>
        <v>1.8</v>
      </c>
      <c r="K59">
        <f>Varicella!I$26/10</f>
        <v>2.4</v>
      </c>
      <c r="L59">
        <v>0</v>
      </c>
      <c r="M59">
        <f t="shared" si="0"/>
        <v>2.4</v>
      </c>
      <c r="N59">
        <f>M59/B59</f>
        <v>1.4275432575347517E-5</v>
      </c>
      <c r="O59">
        <f t="shared" si="1"/>
        <v>0.93197495872589664</v>
      </c>
      <c r="P59">
        <f t="shared" si="2"/>
        <v>91661.000283350309</v>
      </c>
      <c r="Q59">
        <f t="shared" si="3"/>
        <v>0.93196068329332127</v>
      </c>
    </row>
    <row r="60" spans="1:17">
      <c r="A60">
        <v>58</v>
      </c>
      <c r="B60">
        <v>152714</v>
      </c>
      <c r="D60">
        <f>Varicella!B$26/10</f>
        <v>2.2999999999999998</v>
      </c>
      <c r="E60">
        <f>Varicella!C$26/10</f>
        <v>2.6</v>
      </c>
      <c r="F60">
        <f>Varicella!D$26/10</f>
        <v>2.2999999999999998</v>
      </c>
      <c r="G60">
        <f>Varicella!E$26/10</f>
        <v>3.1</v>
      </c>
      <c r="H60">
        <f>Varicella!F$26/10</f>
        <v>2.1</v>
      </c>
      <c r="I60">
        <f>Varicella!G$26/10</f>
        <v>2.6</v>
      </c>
      <c r="J60">
        <f>Varicella!H$26/10</f>
        <v>1.8</v>
      </c>
      <c r="K60">
        <f>Varicella!I$26/10</f>
        <v>2.4</v>
      </c>
      <c r="L60">
        <v>0</v>
      </c>
      <c r="M60">
        <f t="shared" si="0"/>
        <v>2.4</v>
      </c>
      <c r="N60">
        <f>M60/B60</f>
        <v>1.5715651479235695E-5</v>
      </c>
      <c r="O60">
        <f t="shared" si="1"/>
        <v>0.93199067437737593</v>
      </c>
      <c r="P60">
        <f t="shared" si="2"/>
        <v>91663.400283350304</v>
      </c>
      <c r="Q60">
        <f t="shared" si="3"/>
        <v>0.93197495872589664</v>
      </c>
    </row>
    <row r="61" spans="1:17">
      <c r="A61">
        <v>59</v>
      </c>
      <c r="B61">
        <v>135396</v>
      </c>
      <c r="D61">
        <f>Varicella!B$26/10</f>
        <v>2.2999999999999998</v>
      </c>
      <c r="E61">
        <f>Varicella!C$26/10</f>
        <v>2.6</v>
      </c>
      <c r="F61">
        <f>Varicella!D$26/10</f>
        <v>2.2999999999999998</v>
      </c>
      <c r="G61">
        <f>Varicella!E$26/10</f>
        <v>3.1</v>
      </c>
      <c r="H61">
        <f>Varicella!F$26/10</f>
        <v>2.1</v>
      </c>
      <c r="I61">
        <f>Varicella!G$26/10</f>
        <v>2.6</v>
      </c>
      <c r="J61">
        <f>Varicella!H$26/10</f>
        <v>1.8</v>
      </c>
      <c r="K61">
        <f>Varicella!I$26/10</f>
        <v>2.4</v>
      </c>
      <c r="L61">
        <v>0</v>
      </c>
      <c r="M61">
        <f t="shared" si="0"/>
        <v>2.4</v>
      </c>
      <c r="N61">
        <f>M61/B61</f>
        <v>1.7725782150137376E-5</v>
      </c>
      <c r="O61">
        <f t="shared" si="1"/>
        <v>0.93200840015952602</v>
      </c>
      <c r="P61">
        <f t="shared" si="2"/>
        <v>91665.800283350298</v>
      </c>
      <c r="Q61">
        <f t="shared" si="3"/>
        <v>0.93199067437737593</v>
      </c>
    </row>
    <row r="62" spans="1:17">
      <c r="A62">
        <v>60</v>
      </c>
      <c r="B62">
        <v>139919</v>
      </c>
      <c r="D62">
        <f>Varicella!B$27/10</f>
        <v>2.2000000000000002</v>
      </c>
      <c r="E62">
        <f>Varicella!C$27/10</f>
        <v>1.2</v>
      </c>
      <c r="F62">
        <f>Varicella!D$27/10</f>
        <v>1.4</v>
      </c>
      <c r="G62">
        <f>Varicella!E$27/10</f>
        <v>0.8</v>
      </c>
      <c r="H62">
        <f>Varicella!F$27/10</f>
        <v>1</v>
      </c>
      <c r="I62">
        <f>Varicella!G$27/10</f>
        <v>1.1000000000000001</v>
      </c>
      <c r="J62">
        <f>Varicella!H$27/10</f>
        <v>2</v>
      </c>
      <c r="K62">
        <v>1.3857142857142859</v>
      </c>
      <c r="L62">
        <v>0</v>
      </c>
      <c r="M62">
        <f t="shared" si="0"/>
        <v>1.3857142857142859</v>
      </c>
      <c r="N62">
        <f>M62/B62</f>
        <v>9.9036891752677335E-6</v>
      </c>
      <c r="O62">
        <f t="shared" si="1"/>
        <v>0.93201830384870132</v>
      </c>
      <c r="P62">
        <f t="shared" si="2"/>
        <v>91667.185997636014</v>
      </c>
      <c r="Q62">
        <f t="shared" si="3"/>
        <v>0.93200840015952602</v>
      </c>
    </row>
    <row r="63" spans="1:17">
      <c r="A63">
        <v>61</v>
      </c>
      <c r="B63">
        <v>138865</v>
      </c>
      <c r="D63">
        <f>Varicella!B$27/10</f>
        <v>2.2000000000000002</v>
      </c>
      <c r="E63">
        <f>Varicella!C$27/10</f>
        <v>1.2</v>
      </c>
      <c r="F63">
        <f>Varicella!D$27/10</f>
        <v>1.4</v>
      </c>
      <c r="G63">
        <f>Varicella!E$27/10</f>
        <v>0.8</v>
      </c>
      <c r="H63">
        <f>Varicella!F$27/10</f>
        <v>1</v>
      </c>
      <c r="I63">
        <f>Varicella!G$27/10</f>
        <v>1.1000000000000001</v>
      </c>
      <c r="J63">
        <f>Varicella!H$27/10</f>
        <v>2</v>
      </c>
      <c r="K63">
        <v>1.3857142857142859</v>
      </c>
      <c r="L63">
        <v>0</v>
      </c>
      <c r="M63">
        <f t="shared" si="0"/>
        <v>1.3857142857142859</v>
      </c>
      <c r="N63">
        <f>M63/B63</f>
        <v>9.978859220928859E-6</v>
      </c>
      <c r="O63">
        <f t="shared" si="1"/>
        <v>0.93202828270792226</v>
      </c>
      <c r="P63">
        <f t="shared" si="2"/>
        <v>91668.57171192173</v>
      </c>
      <c r="Q63">
        <f t="shared" si="3"/>
        <v>0.93201830384870132</v>
      </c>
    </row>
    <row r="64" spans="1:17">
      <c r="A64">
        <v>62</v>
      </c>
      <c r="B64">
        <v>129619</v>
      </c>
      <c r="D64">
        <f>Varicella!B$27/10</f>
        <v>2.2000000000000002</v>
      </c>
      <c r="E64">
        <f>Varicella!C$27/10</f>
        <v>1.2</v>
      </c>
      <c r="F64">
        <f>Varicella!D$27/10</f>
        <v>1.4</v>
      </c>
      <c r="G64">
        <f>Varicella!E$27/10</f>
        <v>0.8</v>
      </c>
      <c r="H64">
        <f>Varicella!F$27/10</f>
        <v>1</v>
      </c>
      <c r="I64">
        <f>Varicella!G$27/10</f>
        <v>1.1000000000000001</v>
      </c>
      <c r="J64">
        <f>Varicella!H$27/10</f>
        <v>2</v>
      </c>
      <c r="K64">
        <v>1.3857142857142859</v>
      </c>
      <c r="L64">
        <v>0</v>
      </c>
      <c r="M64">
        <f t="shared" si="0"/>
        <v>1.3857142857142859</v>
      </c>
      <c r="N64">
        <f>M64/B64</f>
        <v>1.0690672553516737E-5</v>
      </c>
      <c r="O64">
        <f t="shared" si="1"/>
        <v>0.93203897338047581</v>
      </c>
      <c r="P64">
        <f t="shared" si="2"/>
        <v>91669.957426207446</v>
      </c>
      <c r="Q64">
        <f t="shared" si="3"/>
        <v>0.93202828270792226</v>
      </c>
    </row>
    <row r="65" spans="1:17">
      <c r="A65">
        <v>63</v>
      </c>
      <c r="B65">
        <v>126089</v>
      </c>
      <c r="D65">
        <f>Varicella!B$27/10</f>
        <v>2.2000000000000002</v>
      </c>
      <c r="E65">
        <f>Varicella!C$27/10</f>
        <v>1.2</v>
      </c>
      <c r="F65">
        <f>Varicella!D$27/10</f>
        <v>1.4</v>
      </c>
      <c r="G65">
        <f>Varicella!E$27/10</f>
        <v>0.8</v>
      </c>
      <c r="H65">
        <f>Varicella!F$27/10</f>
        <v>1</v>
      </c>
      <c r="I65">
        <f>Varicella!G$27/10</f>
        <v>1.1000000000000001</v>
      </c>
      <c r="J65">
        <f>Varicella!H$27/10</f>
        <v>2</v>
      </c>
      <c r="K65">
        <v>1.3857142857142859</v>
      </c>
      <c r="L65">
        <v>0</v>
      </c>
      <c r="M65">
        <f t="shared" si="0"/>
        <v>1.3857142857142859</v>
      </c>
      <c r="N65">
        <f>M65/B65</f>
        <v>1.0989969669949686E-5</v>
      </c>
      <c r="O65">
        <f t="shared" si="1"/>
        <v>0.93204996335014578</v>
      </c>
      <c r="P65">
        <f t="shared" si="2"/>
        <v>91671.343140493162</v>
      </c>
      <c r="Q65">
        <f t="shared" si="3"/>
        <v>0.93203897338047581</v>
      </c>
    </row>
    <row r="66" spans="1:17">
      <c r="A66">
        <v>64</v>
      </c>
      <c r="B66">
        <v>119499</v>
      </c>
      <c r="D66">
        <f>Varicella!B$27/10</f>
        <v>2.2000000000000002</v>
      </c>
      <c r="E66">
        <f>Varicella!C$27/10</f>
        <v>1.2</v>
      </c>
      <c r="F66">
        <f>Varicella!D$27/10</f>
        <v>1.4</v>
      </c>
      <c r="G66">
        <f>Varicella!E$27/10</f>
        <v>0.8</v>
      </c>
      <c r="H66">
        <f>Varicella!F$27/10</f>
        <v>1</v>
      </c>
      <c r="I66">
        <f>Varicella!G$27/10</f>
        <v>1.1000000000000001</v>
      </c>
      <c r="J66">
        <f>Varicella!H$27/10</f>
        <v>2</v>
      </c>
      <c r="K66">
        <v>1.3857142857142859</v>
      </c>
      <c r="L66">
        <v>0</v>
      </c>
      <c r="M66">
        <f t="shared" si="0"/>
        <v>1.3857142857142859</v>
      </c>
      <c r="N66">
        <f>M66/B66</f>
        <v>1.1596032483236562E-5</v>
      </c>
      <c r="O66">
        <f t="shared" si="1"/>
        <v>0.93206155938262902</v>
      </c>
      <c r="P66">
        <f t="shared" si="2"/>
        <v>91672.728854778878</v>
      </c>
      <c r="Q66">
        <f t="shared" si="3"/>
        <v>0.93204996335014578</v>
      </c>
    </row>
    <row r="67" spans="1:17">
      <c r="A67" t="s">
        <v>0</v>
      </c>
      <c r="B67">
        <v>1677120</v>
      </c>
      <c r="D67">
        <f>Varicella!B$27/2</f>
        <v>11</v>
      </c>
      <c r="E67">
        <f>Varicella!C$27/2</f>
        <v>6</v>
      </c>
      <c r="F67">
        <f>Varicella!D$27/2</f>
        <v>7</v>
      </c>
      <c r="G67">
        <f>Varicella!E$27/2</f>
        <v>4</v>
      </c>
      <c r="H67">
        <f>Varicella!F$27/2</f>
        <v>5</v>
      </c>
      <c r="I67">
        <f>Varicella!G$27/2</f>
        <v>5.5</v>
      </c>
      <c r="J67">
        <f>Varicella!H$27/2</f>
        <v>10</v>
      </c>
      <c r="K67">
        <v>6.9285714285714288</v>
      </c>
      <c r="L67">
        <v>0</v>
      </c>
      <c r="M67">
        <f t="shared" ref="M67" si="4">K67*(1+L$70*L67)</f>
        <v>6.9285714285714288</v>
      </c>
      <c r="N67">
        <f>M67/B67</f>
        <v>4.1312317714721841E-6</v>
      </c>
      <c r="O67">
        <f t="shared" si="1"/>
        <v>0.93206569061440048</v>
      </c>
      <c r="P67">
        <f t="shared" si="2"/>
        <v>91679.657426207443</v>
      </c>
      <c r="Q67">
        <f t="shared" si="3"/>
        <v>0.93206155938262902</v>
      </c>
    </row>
    <row r="68" spans="1:17">
      <c r="A68" t="s">
        <v>1</v>
      </c>
      <c r="D68">
        <f>SUM(D2:D67)</f>
        <v>40389.000000000022</v>
      </c>
      <c r="E68">
        <f t="shared" ref="E68:K68" si="5">SUM(E2:E67)</f>
        <v>33453.999999999935</v>
      </c>
      <c r="F68">
        <f t="shared" si="5"/>
        <v>34598.000000000015</v>
      </c>
      <c r="G68">
        <f t="shared" si="5"/>
        <v>28881.999999999982</v>
      </c>
      <c r="H68">
        <f t="shared" si="5"/>
        <v>41620</v>
      </c>
      <c r="I68">
        <f t="shared" si="5"/>
        <v>37843.000000000044</v>
      </c>
      <c r="J68">
        <f t="shared" si="5"/>
        <v>33391.999999999942</v>
      </c>
      <c r="K68">
        <f t="shared" si="5"/>
        <v>35739.714285714304</v>
      </c>
      <c r="L68">
        <f>SUM(L2:L67)</f>
        <v>0.99999999999999845</v>
      </c>
      <c r="M68">
        <f t="shared" ref="M68" si="6">SUM(M2:M67)</f>
        <v>91679.657426207443</v>
      </c>
    </row>
    <row r="70" spans="1:17">
      <c r="K70" t="s">
        <v>5</v>
      </c>
      <c r="L70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496C-68E6-4045-ACAB-47097B39FC40}">
  <dimension ref="A1:J30"/>
  <sheetViews>
    <sheetView workbookViewId="0">
      <selection sqref="A1:J30"/>
    </sheetView>
  </sheetViews>
  <sheetFormatPr defaultRowHeight="14.5"/>
  <sheetData>
    <row r="1" spans="1:10">
      <c r="A1" s="4" t="s">
        <v>3</v>
      </c>
      <c r="B1" s="4">
        <v>2011</v>
      </c>
      <c r="C1" s="5">
        <v>2012</v>
      </c>
      <c r="D1" s="5">
        <v>2013</v>
      </c>
      <c r="E1" s="5">
        <v>2014</v>
      </c>
      <c r="F1" s="6">
        <v>2015</v>
      </c>
      <c r="G1" s="5">
        <v>2016</v>
      </c>
      <c r="H1" s="6">
        <v>2017</v>
      </c>
      <c r="I1" t="s">
        <v>4</v>
      </c>
      <c r="J1" t="s">
        <v>8</v>
      </c>
    </row>
    <row r="2" spans="1:10">
      <c r="A2" s="7">
        <v>0</v>
      </c>
      <c r="B2" s="8">
        <v>1245</v>
      </c>
      <c r="C2" s="9">
        <v>1070</v>
      </c>
      <c r="D2" s="10">
        <v>1252</v>
      </c>
      <c r="E2" s="11">
        <v>1052</v>
      </c>
      <c r="F2" s="11">
        <v>1577</v>
      </c>
      <c r="G2" s="11">
        <v>1518</v>
      </c>
      <c r="H2" s="12">
        <v>1343</v>
      </c>
      <c r="I2" s="13">
        <f>AVERAGE(B2:H2)</f>
        <v>1293.8571428571429</v>
      </c>
      <c r="J2">
        <f t="shared" ref="J2:J27" si="0">I2*J$30</f>
        <v>3622.7999999999997</v>
      </c>
    </row>
    <row r="3" spans="1:10">
      <c r="A3" s="14">
        <v>1</v>
      </c>
      <c r="B3" s="8">
        <v>2342</v>
      </c>
      <c r="C3" s="8">
        <v>1700</v>
      </c>
      <c r="D3" s="15">
        <v>1988</v>
      </c>
      <c r="E3" s="12">
        <v>1662</v>
      </c>
      <c r="F3" s="12">
        <v>2581</v>
      </c>
      <c r="G3" s="12">
        <v>2473</v>
      </c>
      <c r="H3" s="12">
        <v>1984</v>
      </c>
      <c r="I3" s="13">
        <f t="shared" ref="I3:I28" si="1">AVERAGE(B3:H3)</f>
        <v>2104.2857142857142</v>
      </c>
      <c r="J3">
        <f t="shared" si="0"/>
        <v>5891.9999999999991</v>
      </c>
    </row>
    <row r="4" spans="1:10">
      <c r="A4" s="14">
        <v>2</v>
      </c>
      <c r="B4" s="8">
        <v>3436</v>
      </c>
      <c r="C4" s="8">
        <v>2639</v>
      </c>
      <c r="D4" s="15">
        <v>2665</v>
      </c>
      <c r="E4" s="12">
        <v>2308</v>
      </c>
      <c r="F4" s="12">
        <v>3747</v>
      </c>
      <c r="G4" s="12">
        <v>3210</v>
      </c>
      <c r="H4" s="12">
        <v>2685</v>
      </c>
      <c r="I4" s="13">
        <f t="shared" si="1"/>
        <v>2955.7142857142858</v>
      </c>
      <c r="J4">
        <f t="shared" si="0"/>
        <v>8276</v>
      </c>
    </row>
    <row r="5" spans="1:10">
      <c r="A5" s="14">
        <v>3</v>
      </c>
      <c r="B5" s="8">
        <v>6657</v>
      </c>
      <c r="C5" s="8">
        <v>5740</v>
      </c>
      <c r="D5" s="15">
        <v>5792</v>
      </c>
      <c r="E5" s="12">
        <v>4713</v>
      </c>
      <c r="F5" s="12">
        <v>6992</v>
      </c>
      <c r="G5" s="12">
        <v>6336</v>
      </c>
      <c r="H5" s="12">
        <v>5282</v>
      </c>
      <c r="I5" s="13">
        <f t="shared" si="1"/>
        <v>5930.2857142857147</v>
      </c>
      <c r="J5">
        <f t="shared" si="0"/>
        <v>16604.8</v>
      </c>
    </row>
    <row r="6" spans="1:10">
      <c r="A6" s="14">
        <v>4</v>
      </c>
      <c r="B6" s="8">
        <v>7244</v>
      </c>
      <c r="C6" s="8">
        <v>6281</v>
      </c>
      <c r="D6" s="15">
        <v>6387</v>
      </c>
      <c r="E6" s="12">
        <v>5225</v>
      </c>
      <c r="F6" s="12">
        <v>7376</v>
      </c>
      <c r="G6" s="12">
        <v>6539</v>
      </c>
      <c r="H6" s="12">
        <v>5779</v>
      </c>
      <c r="I6" s="13">
        <f t="shared" si="1"/>
        <v>6404.4285714285716</v>
      </c>
      <c r="J6">
        <f t="shared" si="0"/>
        <v>17932.399999999998</v>
      </c>
    </row>
    <row r="7" spans="1:10">
      <c r="A7" s="14">
        <v>5</v>
      </c>
      <c r="B7" s="8">
        <v>6077</v>
      </c>
      <c r="C7" s="8">
        <v>5140</v>
      </c>
      <c r="D7" s="15">
        <v>5234</v>
      </c>
      <c r="E7" s="12">
        <v>4560</v>
      </c>
      <c r="F7" s="12">
        <v>6539</v>
      </c>
      <c r="G7" s="12">
        <v>5405</v>
      </c>
      <c r="H7" s="12">
        <v>4743</v>
      </c>
      <c r="I7" s="13">
        <f t="shared" si="1"/>
        <v>5385.4285714285716</v>
      </c>
      <c r="J7">
        <f t="shared" si="0"/>
        <v>15079.199999999999</v>
      </c>
    </row>
    <row r="8" spans="1:10">
      <c r="A8" s="14">
        <v>6</v>
      </c>
      <c r="B8" s="8">
        <v>4132</v>
      </c>
      <c r="C8" s="8">
        <v>3516</v>
      </c>
      <c r="D8" s="15">
        <v>3790</v>
      </c>
      <c r="E8" s="12">
        <v>3200</v>
      </c>
      <c r="F8" s="12">
        <v>4523</v>
      </c>
      <c r="G8" s="12">
        <v>4056</v>
      </c>
      <c r="H8" s="12">
        <v>3460</v>
      </c>
      <c r="I8" s="13">
        <f t="shared" si="1"/>
        <v>3811</v>
      </c>
      <c r="J8">
        <f t="shared" si="0"/>
        <v>10670.8</v>
      </c>
    </row>
    <row r="9" spans="1:10">
      <c r="A9" s="14">
        <v>7</v>
      </c>
      <c r="B9" s="8">
        <v>2362</v>
      </c>
      <c r="C9" s="8">
        <v>1972</v>
      </c>
      <c r="D9" s="15">
        <v>2125</v>
      </c>
      <c r="E9" s="12">
        <v>1808</v>
      </c>
      <c r="F9" s="12">
        <v>2551</v>
      </c>
      <c r="G9" s="12">
        <v>2332</v>
      </c>
      <c r="H9" s="12">
        <v>2147</v>
      </c>
      <c r="I9" s="13">
        <f t="shared" si="1"/>
        <v>2185.2857142857142</v>
      </c>
      <c r="J9">
        <f t="shared" si="0"/>
        <v>6118.7999999999993</v>
      </c>
    </row>
    <row r="10" spans="1:10">
      <c r="A10" s="14">
        <v>8</v>
      </c>
      <c r="B10" s="8">
        <v>1581</v>
      </c>
      <c r="C10" s="8">
        <v>1363</v>
      </c>
      <c r="D10" s="15">
        <v>1268</v>
      </c>
      <c r="E10" s="12">
        <v>1068</v>
      </c>
      <c r="F10" s="12">
        <v>1609</v>
      </c>
      <c r="G10" s="12">
        <v>1564</v>
      </c>
      <c r="H10" s="12">
        <v>1657</v>
      </c>
      <c r="I10" s="13">
        <f t="shared" si="1"/>
        <v>1444.2857142857142</v>
      </c>
      <c r="J10">
        <f t="shared" si="0"/>
        <v>4043.9999999999995</v>
      </c>
    </row>
    <row r="11" spans="1:10">
      <c r="A11" s="14">
        <v>9</v>
      </c>
      <c r="B11" s="8">
        <v>1198</v>
      </c>
      <c r="C11" s="8">
        <v>804</v>
      </c>
      <c r="D11" s="15">
        <v>890</v>
      </c>
      <c r="E11" s="12">
        <v>647</v>
      </c>
      <c r="F11" s="12">
        <v>1038</v>
      </c>
      <c r="G11" s="12">
        <v>1068</v>
      </c>
      <c r="H11" s="12">
        <v>1043</v>
      </c>
      <c r="I11" s="13">
        <f t="shared" si="1"/>
        <v>955.42857142857144</v>
      </c>
      <c r="J11">
        <f t="shared" si="0"/>
        <v>2675.2</v>
      </c>
    </row>
    <row r="12" spans="1:10">
      <c r="A12" s="14">
        <v>10</v>
      </c>
      <c r="B12" s="8">
        <v>754</v>
      </c>
      <c r="C12" s="8">
        <v>608</v>
      </c>
      <c r="D12" s="15">
        <v>638</v>
      </c>
      <c r="E12" s="12">
        <v>520</v>
      </c>
      <c r="F12" s="12">
        <v>692</v>
      </c>
      <c r="G12" s="12">
        <v>761</v>
      </c>
      <c r="H12" s="12">
        <v>755</v>
      </c>
      <c r="I12" s="13">
        <f t="shared" si="1"/>
        <v>675.42857142857144</v>
      </c>
      <c r="J12">
        <f t="shared" si="0"/>
        <v>1891.1999999999998</v>
      </c>
    </row>
    <row r="13" spans="1:10">
      <c r="A13" s="14">
        <v>11</v>
      </c>
      <c r="B13" s="8">
        <v>553</v>
      </c>
      <c r="C13" s="8">
        <v>496</v>
      </c>
      <c r="D13" s="15">
        <v>510</v>
      </c>
      <c r="E13" s="12">
        <v>350</v>
      </c>
      <c r="F13" s="12">
        <v>460</v>
      </c>
      <c r="G13" s="12">
        <v>535</v>
      </c>
      <c r="H13" s="12">
        <v>482</v>
      </c>
      <c r="I13" s="13">
        <f t="shared" si="1"/>
        <v>483.71428571428572</v>
      </c>
      <c r="J13">
        <f t="shared" si="0"/>
        <v>1354.3999999999999</v>
      </c>
    </row>
    <row r="14" spans="1:10">
      <c r="A14" s="14">
        <v>12</v>
      </c>
      <c r="B14" s="8">
        <v>448</v>
      </c>
      <c r="C14" s="8">
        <v>341</v>
      </c>
      <c r="D14" s="15">
        <v>392</v>
      </c>
      <c r="E14" s="12">
        <v>287</v>
      </c>
      <c r="F14" s="12">
        <v>361</v>
      </c>
      <c r="G14" s="12">
        <v>392</v>
      </c>
      <c r="H14" s="12">
        <v>388</v>
      </c>
      <c r="I14" s="13">
        <f t="shared" si="1"/>
        <v>372.71428571428572</v>
      </c>
      <c r="J14">
        <f t="shared" si="0"/>
        <v>1043.5999999999999</v>
      </c>
    </row>
    <row r="15" spans="1:10">
      <c r="A15" s="14">
        <v>13</v>
      </c>
      <c r="B15" s="8">
        <v>385</v>
      </c>
      <c r="C15" s="8">
        <v>293</v>
      </c>
      <c r="D15" s="15">
        <v>248</v>
      </c>
      <c r="E15" s="12">
        <v>248</v>
      </c>
      <c r="F15" s="12">
        <v>266</v>
      </c>
      <c r="G15" s="12">
        <v>286</v>
      </c>
      <c r="H15" s="12">
        <v>307</v>
      </c>
      <c r="I15" s="13">
        <f t="shared" si="1"/>
        <v>290.42857142857144</v>
      </c>
      <c r="J15">
        <f t="shared" si="0"/>
        <v>813.2</v>
      </c>
    </row>
    <row r="16" spans="1:10">
      <c r="A16" s="16">
        <v>14</v>
      </c>
      <c r="B16" s="17">
        <v>318</v>
      </c>
      <c r="C16" s="18">
        <v>233</v>
      </c>
      <c r="D16" s="19">
        <v>223</v>
      </c>
      <c r="E16" s="20">
        <v>185</v>
      </c>
      <c r="F16" s="20">
        <v>203</v>
      </c>
      <c r="G16" s="20">
        <v>253</v>
      </c>
      <c r="H16" s="20">
        <v>243</v>
      </c>
      <c r="I16" s="13">
        <f t="shared" si="1"/>
        <v>236.85714285714286</v>
      </c>
      <c r="J16">
        <f t="shared" si="0"/>
        <v>663.19999999999993</v>
      </c>
    </row>
    <row r="17" spans="1:10">
      <c r="A17" s="7">
        <v>0</v>
      </c>
      <c r="B17" s="21">
        <v>1245</v>
      </c>
      <c r="C17" s="9">
        <v>1070</v>
      </c>
      <c r="D17" s="10">
        <v>1252</v>
      </c>
      <c r="E17" s="11">
        <v>1052</v>
      </c>
      <c r="F17" s="11">
        <v>1577</v>
      </c>
      <c r="G17" s="11">
        <v>1518</v>
      </c>
      <c r="H17" s="12">
        <v>1343</v>
      </c>
      <c r="I17" s="13">
        <f t="shared" si="1"/>
        <v>1293.8571428571429</v>
      </c>
      <c r="J17">
        <f t="shared" si="0"/>
        <v>3622.7999999999997</v>
      </c>
    </row>
    <row r="18" spans="1:10">
      <c r="A18" s="14" t="s">
        <v>9</v>
      </c>
      <c r="B18" s="8">
        <v>5778</v>
      </c>
      <c r="C18" s="8">
        <v>4339</v>
      </c>
      <c r="D18" s="15">
        <v>4653</v>
      </c>
      <c r="E18" s="12">
        <v>3970</v>
      </c>
      <c r="F18" s="12">
        <v>6328</v>
      </c>
      <c r="G18" s="12">
        <v>5683</v>
      </c>
      <c r="H18" s="12">
        <v>4669</v>
      </c>
      <c r="I18" s="13">
        <f t="shared" si="1"/>
        <v>5060</v>
      </c>
      <c r="J18">
        <f t="shared" si="0"/>
        <v>14168</v>
      </c>
    </row>
    <row r="19" spans="1:10">
      <c r="A19" s="14" t="s">
        <v>10</v>
      </c>
      <c r="B19" s="8">
        <v>19978</v>
      </c>
      <c r="C19" s="8">
        <v>17161</v>
      </c>
      <c r="D19" s="15">
        <v>17413</v>
      </c>
      <c r="E19" s="12">
        <v>14498</v>
      </c>
      <c r="F19" s="12">
        <v>20907</v>
      </c>
      <c r="G19" s="12">
        <v>18280</v>
      </c>
      <c r="H19" s="12">
        <v>15804</v>
      </c>
      <c r="I19" s="13">
        <f t="shared" si="1"/>
        <v>17720.142857142859</v>
      </c>
      <c r="J19">
        <f t="shared" si="0"/>
        <v>49616.4</v>
      </c>
    </row>
    <row r="20" spans="1:10">
      <c r="A20" s="14" t="s">
        <v>11</v>
      </c>
      <c r="B20" s="8">
        <v>9273</v>
      </c>
      <c r="C20" s="8">
        <v>7655</v>
      </c>
      <c r="D20" s="15">
        <v>8073</v>
      </c>
      <c r="E20" s="12">
        <v>6723</v>
      </c>
      <c r="F20" s="12">
        <v>9721</v>
      </c>
      <c r="G20" s="12">
        <v>9020</v>
      </c>
      <c r="H20" s="12">
        <v>8307</v>
      </c>
      <c r="I20" s="13">
        <f t="shared" si="1"/>
        <v>8396</v>
      </c>
      <c r="J20">
        <f t="shared" si="0"/>
        <v>23508.799999999999</v>
      </c>
    </row>
    <row r="21" spans="1:10">
      <c r="A21" s="14" t="s">
        <v>12</v>
      </c>
      <c r="B21" s="8">
        <v>2458</v>
      </c>
      <c r="C21" s="8">
        <v>1971</v>
      </c>
      <c r="D21" s="15">
        <v>2011</v>
      </c>
      <c r="E21" s="12">
        <v>1590</v>
      </c>
      <c r="F21" s="12">
        <v>1982</v>
      </c>
      <c r="G21" s="12">
        <v>2227</v>
      </c>
      <c r="H21" s="12">
        <v>2175</v>
      </c>
      <c r="I21" s="13">
        <f t="shared" si="1"/>
        <v>2059.1428571428573</v>
      </c>
      <c r="J21">
        <f t="shared" si="0"/>
        <v>5765.6</v>
      </c>
    </row>
    <row r="22" spans="1:10">
      <c r="A22" s="14" t="s">
        <v>13</v>
      </c>
      <c r="B22" s="8">
        <v>648</v>
      </c>
      <c r="C22" s="18">
        <v>458</v>
      </c>
      <c r="D22" s="19">
        <v>483</v>
      </c>
      <c r="E22" s="12">
        <v>435</v>
      </c>
      <c r="F22" s="12">
        <v>469</v>
      </c>
      <c r="G22" s="12">
        <v>472</v>
      </c>
      <c r="H22" s="12">
        <v>475</v>
      </c>
      <c r="I22" s="13">
        <f t="shared" si="1"/>
        <v>491.42857142857144</v>
      </c>
      <c r="J22">
        <f t="shared" si="0"/>
        <v>1376</v>
      </c>
    </row>
    <row r="23" spans="1:10">
      <c r="A23" s="14" t="s">
        <v>14</v>
      </c>
      <c r="B23" s="8">
        <v>384</v>
      </c>
      <c r="C23" s="8">
        <v>286</v>
      </c>
      <c r="D23" s="15">
        <v>296</v>
      </c>
      <c r="E23" s="12">
        <v>261</v>
      </c>
      <c r="F23" s="12">
        <v>266</v>
      </c>
      <c r="G23" s="12">
        <v>269</v>
      </c>
      <c r="H23" s="12">
        <v>272</v>
      </c>
      <c r="I23" s="13">
        <f t="shared" si="1"/>
        <v>290.57142857142856</v>
      </c>
      <c r="J23">
        <f t="shared" si="0"/>
        <v>813.59999999999991</v>
      </c>
    </row>
    <row r="24" spans="1:10">
      <c r="A24" s="14" t="s">
        <v>15</v>
      </c>
      <c r="B24" s="8">
        <v>475</v>
      </c>
      <c r="C24" s="21">
        <v>367</v>
      </c>
      <c r="D24" s="19">
        <v>283</v>
      </c>
      <c r="E24" s="12">
        <v>235</v>
      </c>
      <c r="F24" s="12">
        <v>249</v>
      </c>
      <c r="G24" s="12">
        <v>228</v>
      </c>
      <c r="H24" s="12">
        <v>222</v>
      </c>
      <c r="I24" s="13">
        <f t="shared" si="1"/>
        <v>294.14285714285717</v>
      </c>
      <c r="J24">
        <f t="shared" si="0"/>
        <v>823.6</v>
      </c>
    </row>
    <row r="25" spans="1:10">
      <c r="A25" s="14" t="s">
        <v>16</v>
      </c>
      <c r="B25" s="8">
        <v>105</v>
      </c>
      <c r="C25" s="8">
        <v>109</v>
      </c>
      <c r="D25" s="15">
        <v>97</v>
      </c>
      <c r="E25" s="12">
        <v>79</v>
      </c>
      <c r="F25" s="12">
        <v>90</v>
      </c>
      <c r="G25" s="12">
        <v>109</v>
      </c>
      <c r="H25" s="12">
        <v>87</v>
      </c>
      <c r="I25" s="13">
        <f t="shared" si="1"/>
        <v>96.571428571428569</v>
      </c>
      <c r="J25">
        <f t="shared" si="0"/>
        <v>270.39999999999998</v>
      </c>
    </row>
    <row r="26" spans="1:10">
      <c r="A26" s="14" t="s">
        <v>17</v>
      </c>
      <c r="B26" s="8">
        <v>23</v>
      </c>
      <c r="C26" s="8">
        <v>26</v>
      </c>
      <c r="D26" s="15">
        <v>23</v>
      </c>
      <c r="E26" s="12">
        <v>31</v>
      </c>
      <c r="F26" s="12">
        <v>21</v>
      </c>
      <c r="G26" s="12">
        <v>26</v>
      </c>
      <c r="H26" s="12">
        <v>18</v>
      </c>
      <c r="I26" s="13">
        <f t="shared" si="1"/>
        <v>24</v>
      </c>
      <c r="J26">
        <f t="shared" si="0"/>
        <v>67.199999999999989</v>
      </c>
    </row>
    <row r="27" spans="1:10" ht="15" thickBot="1">
      <c r="A27" s="22" t="s">
        <v>18</v>
      </c>
      <c r="B27" s="8">
        <v>22</v>
      </c>
      <c r="C27" s="18">
        <v>12</v>
      </c>
      <c r="D27" s="19">
        <v>14</v>
      </c>
      <c r="E27" s="23">
        <v>8</v>
      </c>
      <c r="F27" s="23">
        <v>10</v>
      </c>
      <c r="G27" s="23">
        <v>11</v>
      </c>
      <c r="H27" s="12">
        <v>20</v>
      </c>
      <c r="I27" s="13">
        <f t="shared" si="1"/>
        <v>13.857142857142858</v>
      </c>
      <c r="J27">
        <f t="shared" si="0"/>
        <v>38.799999999999997</v>
      </c>
    </row>
    <row r="28" spans="1:10" ht="15" thickTop="1">
      <c r="A28" s="24" t="s">
        <v>1</v>
      </c>
      <c r="B28" s="25">
        <v>40389</v>
      </c>
      <c r="C28" s="26">
        <v>33454</v>
      </c>
      <c r="D28" s="27">
        <v>34598</v>
      </c>
      <c r="E28" s="28">
        <v>28882</v>
      </c>
      <c r="F28" s="28">
        <v>41620</v>
      </c>
      <c r="G28" s="28">
        <v>37843</v>
      </c>
      <c r="H28" s="28">
        <v>33392</v>
      </c>
      <c r="I28" s="13">
        <f t="shared" si="1"/>
        <v>35739.714285714283</v>
      </c>
      <c r="J28">
        <f>I28*J$30</f>
        <v>100071.19999999998</v>
      </c>
    </row>
    <row r="29" spans="1:10">
      <c r="J29" t="s">
        <v>5</v>
      </c>
    </row>
    <row r="30" spans="1:10">
      <c r="J30" s="29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compartments</vt:lpstr>
      <vt:lpstr>helper</vt:lpstr>
      <vt:lpstr>Varicella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Csuma-Kovács Rita</dc:creator>
  <cp:lastModifiedBy>Rita Csuma-Kovács</cp:lastModifiedBy>
  <dcterms:created xsi:type="dcterms:W3CDTF">2015-06-05T18:19:34Z</dcterms:created>
  <dcterms:modified xsi:type="dcterms:W3CDTF">2026-04-02T11:08:56Z</dcterms:modified>
</cp:coreProperties>
</file>