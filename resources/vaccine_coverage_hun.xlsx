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E5214EEE-8698-40DB-A8AC-6DD2FB51E7AC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vaccin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<sst xmlns="http://schemas.openxmlformats.org/spreadsheetml/2006/main" count="3" uniqueCount="3">
  <si>
    <t>Year</t>
  </si>
  <si>
    <t>1st dose</t>
  </si>
  <si>
    <t>2nd 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</si>
</sst>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URITA\PycharmProjects\PythonProject\counterfactual-analysis-vzv\resources\births_hun.xlsx" TargetMode="External"/><Relationship Id="rId1" Type="http://schemas.openxmlformats.org/officeDocument/2006/relationships/externalLinkPath" Target="births_h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rths"/>
      <sheetName val="weekly_data"/>
      <sheetName val="weekly_rates"/>
    </sheetNames>
    <sheetDataSet>
      <sheetData sheetId="0">
        <row r="25">
          <cell r="B25">
            <v>85225</v>
          </cell>
        </row>
        <row r="26">
          <cell r="B26">
            <v>77511</v>
          </cell>
        </row>
      </sheetData>
      <sheetData sheetId="1"/>
      <sheetData sheetId="2">
        <row r="2">
          <cell r="B2">
            <v>1.8914295352143218E-2</v>
          </cell>
        </row>
        <row r="3">
          <cell r="B3">
            <v>1.9275715008553598E-2</v>
          </cell>
        </row>
        <row r="4">
          <cell r="B4">
            <v>1.8793822133339758E-2</v>
          </cell>
        </row>
        <row r="5">
          <cell r="B5">
            <v>1.8842011420861143E-2</v>
          </cell>
        </row>
        <row r="6">
          <cell r="B6">
            <v>1.9058863214707372E-2</v>
          </cell>
        </row>
        <row r="7">
          <cell r="B7">
            <v>1.8962484639664604E-2</v>
          </cell>
        </row>
        <row r="8">
          <cell r="B8">
            <v>1.8842011420861143E-2</v>
          </cell>
        </row>
        <row r="9">
          <cell r="B9">
            <v>1.9131147145989447E-2</v>
          </cell>
        </row>
        <row r="10">
          <cell r="B10">
            <v>1.9119099824109101E-2</v>
          </cell>
        </row>
        <row r="11">
          <cell r="B11">
            <v>1.885405874274149E-2</v>
          </cell>
        </row>
        <row r="12">
          <cell r="B12">
            <v>1.8299881936245571E-2</v>
          </cell>
        </row>
        <row r="13">
          <cell r="B13">
            <v>1.8685396236416643E-2</v>
          </cell>
        </row>
        <row r="14">
          <cell r="B14">
            <v>1.8058935498638653E-2</v>
          </cell>
        </row>
        <row r="15">
          <cell r="B15">
            <v>1.7263812254535816E-2</v>
          </cell>
        </row>
        <row r="16">
          <cell r="B16">
            <v>1.7468616726501698E-2</v>
          </cell>
        </row>
        <row r="17">
          <cell r="B17">
            <v>1.7842083704792424E-2</v>
          </cell>
        </row>
        <row r="18">
          <cell r="B18">
            <v>1.8275787292484882E-2</v>
          </cell>
        </row>
        <row r="19">
          <cell r="B19">
            <v>1.8095077464279692E-2</v>
          </cell>
        </row>
        <row r="20">
          <cell r="B20">
            <v>1.8589017661373875E-2</v>
          </cell>
        </row>
        <row r="21">
          <cell r="B21">
            <v>1.8781774811459411E-2</v>
          </cell>
        </row>
        <row r="22">
          <cell r="B22">
            <v>1.8299881936245571E-2</v>
          </cell>
        </row>
        <row r="23">
          <cell r="B23">
            <v>1.8842011420861143E-2</v>
          </cell>
        </row>
        <row r="24">
          <cell r="B24">
            <v>1.8902248030262872E-2</v>
          </cell>
        </row>
        <row r="25">
          <cell r="B25">
            <v>1.9420282871117751E-2</v>
          </cell>
        </row>
        <row r="26">
          <cell r="B26">
            <v>2.0564778449750621E-2</v>
          </cell>
        </row>
        <row r="27">
          <cell r="B27">
            <v>2.0468399874707853E-2</v>
          </cell>
        </row>
        <row r="28">
          <cell r="B28">
            <v>2.0456352552827507E-2</v>
          </cell>
        </row>
        <row r="29">
          <cell r="B29">
            <v>2.0745488277955811E-2</v>
          </cell>
        </row>
        <row r="30">
          <cell r="B30">
            <v>2.0878008818639618E-2</v>
          </cell>
        </row>
        <row r="31">
          <cell r="B31">
            <v>2.0817772209237886E-2</v>
          </cell>
        </row>
        <row r="32">
          <cell r="B32">
            <v>2.0661157024793389E-2</v>
          </cell>
        </row>
        <row r="33">
          <cell r="B33">
            <v>2.0600920415391657E-2</v>
          </cell>
        </row>
        <row r="34">
          <cell r="B34">
            <v>2.0384068621545431E-2</v>
          </cell>
        </row>
        <row r="35">
          <cell r="B35">
            <v>1.9950365033852974E-2</v>
          </cell>
        </row>
        <row r="36">
          <cell r="B36">
            <v>1.9866033780690552E-2</v>
          </cell>
        </row>
        <row r="37">
          <cell r="B37">
            <v>2.0347926655904392E-2</v>
          </cell>
        </row>
        <row r="38">
          <cell r="B38">
            <v>2.0528636484109582E-2</v>
          </cell>
        </row>
        <row r="39">
          <cell r="B39">
            <v>2.0805724887357539E-2</v>
          </cell>
        </row>
        <row r="40">
          <cell r="B40">
            <v>2.0805724887357539E-2</v>
          </cell>
        </row>
        <row r="41">
          <cell r="B41">
            <v>1.9926270390092281E-2</v>
          </cell>
        </row>
        <row r="42">
          <cell r="B42">
            <v>1.9576898055562248E-2</v>
          </cell>
        </row>
        <row r="43">
          <cell r="B43">
            <v>1.8938389995903911E-2</v>
          </cell>
        </row>
        <row r="44">
          <cell r="B44">
            <v>1.9203431077271522E-2</v>
          </cell>
        </row>
        <row r="45">
          <cell r="B45">
            <v>1.885405874274149E-2</v>
          </cell>
        </row>
        <row r="46">
          <cell r="B46">
            <v>1.9926270390092281E-2</v>
          </cell>
        </row>
        <row r="47">
          <cell r="B47">
            <v>1.8757680167698722E-2</v>
          </cell>
        </row>
        <row r="48">
          <cell r="B48">
            <v>1.8829964098980797E-2</v>
          </cell>
        </row>
        <row r="49">
          <cell r="B49">
            <v>1.8757680167698722E-2</v>
          </cell>
        </row>
        <row r="50">
          <cell r="B50">
            <v>1.8866106064621836E-2</v>
          </cell>
        </row>
        <row r="51">
          <cell r="B51">
            <v>1.8420355155049032E-2</v>
          </cell>
        </row>
        <row r="52">
          <cell r="B52">
            <v>1.8480591764450764E-2</v>
          </cell>
        </row>
        <row r="53">
          <cell r="B53">
            <v>1.6962629207527165E-2</v>
          </cell>
        </row>
        <row r="54">
          <cell r="B5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3" workbookViewId="0">
      <selection activeCell="C28" sqref="C2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2000</v>
      </c>
      <c r="B2">
        <v>0</v>
      </c>
      <c r="C2">
        <v>0</v>
      </c>
    </row>
    <row r="3" spans="1:3" x14ac:dyDescent="0.35">
      <c r="A3">
        <v>2001</v>
      </c>
      <c r="B3">
        <v>0</v>
      </c>
      <c r="C3">
        <v>0</v>
      </c>
    </row>
    <row r="4" spans="1:3" x14ac:dyDescent="0.35">
      <c r="A4">
        <v>2002</v>
      </c>
      <c r="B4">
        <v>0</v>
      </c>
      <c r="C4">
        <v>0</v>
      </c>
    </row>
    <row r="5" spans="1:3" x14ac:dyDescent="0.35">
      <c r="A5">
        <v>2003</v>
      </c>
      <c r="B5">
        <v>0</v>
      </c>
      <c r="C5">
        <v>0</v>
      </c>
    </row>
    <row r="6" spans="1:3" x14ac:dyDescent="0.35">
      <c r="A6">
        <v>2004</v>
      </c>
      <c r="B6">
        <v>0</v>
      </c>
      <c r="C6">
        <v>0</v>
      </c>
    </row>
    <row r="7" spans="1:3" x14ac:dyDescent="0.35">
      <c r="A7">
        <v>2005</v>
      </c>
      <c r="B7">
        <v>0</v>
      </c>
      <c r="C7">
        <v>0</v>
      </c>
    </row>
    <row r="8" spans="1:3" x14ac:dyDescent="0.35">
      <c r="A8">
        <v>2006</v>
      </c>
      <c r="B8">
        <v>0</v>
      </c>
      <c r="C8">
        <v>0</v>
      </c>
    </row>
    <row r="9" spans="1:3" x14ac:dyDescent="0.35">
      <c r="A9">
        <v>2007</v>
      </c>
      <c r="B9">
        <v>0</v>
      </c>
      <c r="C9">
        <v>0</v>
      </c>
    </row>
    <row r="10" spans="1:3" x14ac:dyDescent="0.35">
      <c r="A10">
        <v>2008</v>
      </c>
      <c r="B10">
        <v>0</v>
      </c>
      <c r="C10">
        <v>0</v>
      </c>
    </row>
    <row r="11" spans="1:3" x14ac:dyDescent="0.35">
      <c r="A11">
        <v>2009</v>
      </c>
      <c r="B11">
        <v>0</v>
      </c>
      <c r="C11">
        <v>0</v>
      </c>
    </row>
    <row r="12" spans="1:3" x14ac:dyDescent="0.35">
      <c r="A12">
        <v>2010</v>
      </c>
      <c r="B12">
        <v>0</v>
      </c>
      <c r="C12">
        <v>0</v>
      </c>
    </row>
    <row r="13" spans="1:3" x14ac:dyDescent="0.35">
      <c r="A13">
        <v>2011</v>
      </c>
      <c r="B13">
        <v>0</v>
      </c>
      <c r="C13">
        <v>0</v>
      </c>
    </row>
    <row r="14" spans="1:3" x14ac:dyDescent="0.35">
      <c r="A14">
        <v>2012</v>
      </c>
      <c r="B14">
        <v>0</v>
      </c>
      <c r="C14">
        <v>0</v>
      </c>
    </row>
    <row r="15" spans="1:3" x14ac:dyDescent="0.35">
      <c r="A15">
        <v>2013</v>
      </c>
      <c r="B15">
        <v>0</v>
      </c>
      <c r="C15">
        <v>0</v>
      </c>
    </row>
    <row r="16" spans="1:3" x14ac:dyDescent="0.35">
      <c r="A16">
        <v>2014</v>
      </c>
      <c r="B16">
        <v>0</v>
      </c>
      <c r="C16">
        <v>0</v>
      </c>
    </row>
    <row r="17" spans="1:3" x14ac:dyDescent="0.35">
      <c r="A17">
        <v>2015</v>
      </c>
      <c r="B17">
        <v>0</v>
      </c>
      <c r="C17">
        <v>0</v>
      </c>
    </row>
    <row r="18" spans="1:3" x14ac:dyDescent="0.35">
      <c r="A18">
        <v>2016</v>
      </c>
      <c r="B18">
        <v>0</v>
      </c>
      <c r="C18">
        <v>0</v>
      </c>
    </row>
    <row r="19" spans="1:3" x14ac:dyDescent="0.35">
      <c r="A19">
        <v>2017</v>
      </c>
      <c r="B19">
        <v>0</v>
      </c>
      <c r="C19">
        <v>0</v>
      </c>
    </row>
    <row r="20" spans="1:3" x14ac:dyDescent="0.35">
      <c r="A20">
        <v>2018</v>
      </c>
      <c r="B20">
        <v>0</v>
      </c>
      <c r="C20">
        <v>0</v>
      </c>
    </row>
    <row r="21" spans="1:3" x14ac:dyDescent="0.35">
      <c r="A21">
        <v>2019</v>
      </c>
      <c r="B21">
        <v>29336</v>
      </c>
      <c r="C21">
        <v>0</v>
      </c>
    </row>
    <row r="22" spans="1:3" x14ac:dyDescent="0.35">
      <c r="A22">
        <v>2020</v>
      </c>
      <c r="B22">
        <v>86249</v>
      </c>
      <c r="C22">
        <v>0</v>
      </c>
    </row>
    <row r="23" spans="1:3" x14ac:dyDescent="0.35">
      <c r="A23">
        <v>2021</v>
      </c>
      <c r="B23">
        <v>86779</v>
      </c>
      <c r="C23">
        <v>86543</v>
      </c>
    </row>
    <row r="24" spans="1:3" x14ac:dyDescent="0.35">
      <c r="A24">
        <v>2022</v>
      </c>
      <c r="B24">
        <v>90622</v>
      </c>
      <c r="C24">
        <v>90384</v>
      </c>
    </row>
    <row r="25" spans="1:3" x14ac:dyDescent="0.35">
      <c r="A25">
        <v>2023</v>
      </c>
      <c r="B25">
        <v>91250</v>
      </c>
      <c r="C25">
        <v>90961</v>
      </c>
    </row>
    <row r="26" spans="1:3" x14ac:dyDescent="0.35">
      <c r="A26">
        <v>2024</v>
      </c>
      <c r="B26">
        <v>86346</v>
      </c>
      <c r="C26">
        <v>86088</v>
      </c>
    </row>
    <row r="27" spans="1:3" x14ac:dyDescent="0.35">
      <c r="A27">
        <v>2025</v>
      </c>
      <c r="B27">
        <v>83520</v>
      </c>
      <c r="C27">
        <f>ROUND(0.99*([1]births!$B$25*SUM([1]weekly_rates!$B$28:$B$54) + [1]births!$B$26 * SUM([1]weekly_rates!$B$2:$B$27)),0)</f>
        <v>80649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vaccines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2026-04-16T09:43:17Z</dcterms:modified>
</cp:coreProperties>
</file>